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d.docs.live.net/3ed8e7af0e9575fd/Documents/GitHub/spring-24-IBC/DataforAnalysis/DataforAnalysis/"/>
    </mc:Choice>
  </mc:AlternateContent>
  <xr:revisionPtr revIDLastSave="22" documentId="8_{609DA066-C5E9-4F9C-98FB-16D6CC201611}" xr6:coauthVersionLast="47" xr6:coauthVersionMax="47" xr10:uidLastSave="{BDD49AE1-7B9D-4440-A4C7-B79A0A047098}"/>
  <bookViews>
    <workbookView xWindow="-110" yWindow="-110" windowWidth="25820" windowHeight="15500" tabRatio="759" activeTab="2" xr2:uid="{00000000-000D-0000-FFFF-FFFF00000000}"/>
  </bookViews>
  <sheets>
    <sheet name="IBC Historical Data" sheetId="3" r:id="rId1"/>
    <sheet name="Historic Averages by Year" sheetId="9" r:id="rId2"/>
    <sheet name="Historic Totals by Year" sheetId="8" r:id="rId3"/>
    <sheet name="Historic Semester Data" sheetId="10" r:id="rId4"/>
    <sheet name="Sheet1" sheetId="12" r:id="rId5"/>
    <sheet name="Location Analysis" sheetId="11" r:id="rId6"/>
    <sheet name="VBA" sheetId="2" state="veryHidden" r:id="rId7"/>
    <sheet name="ᴁ Analytics Edge Queries" sheetId="4" state="hidden" r:id="rId8"/>
  </sheets>
  <externalReferences>
    <externalReference r:id="rId9"/>
  </externalReferences>
  <definedNames>
    <definedName name="_xlnm._FilterDatabase" localSheetId="0" hidden="1">'IBC Historical Data'!$A$2:$Q$181</definedName>
    <definedName name="cash_balances">'IBC Historical Data'!$P$3:$P$1048576</definedName>
    <definedName name="cogs">'IBC Historical Data'!$J$3:$J$1048576</definedName>
    <definedName name="company_semester">'IBC Historical Data'!$C$3:$C$1048576</definedName>
    <definedName name="company_year">'IBC Historical Data'!$B$3:$B$1048576</definedName>
    <definedName name="current_semester">'[1]Used Ideas - Past Year'!$H$4</definedName>
    <definedName name="earliest_semester">'[1]Used Ideas - Past Year'!$F$4</definedName>
    <definedName name="gross_profits">'IBC Historical Data'!$K$3:$K$1048576</definedName>
    <definedName name="historical_data">'IBC Historical Data'!$B$2:$Q$181</definedName>
    <definedName name="last_semester">'[1]Used Ideas - Past Year'!$G$4</definedName>
    <definedName name="net_incomes">'IBC Historical Data'!$O$3:$O$1048576</definedName>
    <definedName name="operating_expenses">'IBC Historical Data'!$M$3:$M$1048576</definedName>
    <definedName name="operating_incomes">'IBC Historical Data'!$N$3:$N$1048576</definedName>
    <definedName name="revenues">'IBC Historical Data'!$I$3:$I$1048576</definedName>
    <definedName name="year_current">'[1]Used Ideas - Past Year'!$E$4</definedName>
  </definedNames>
  <calcPr calcId="191028"/>
  <pivotCaches>
    <pivotCache cacheId="1" r:id="rId10"/>
    <pivotCache cacheId="2" r:id="rId1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121" i="3" l="1"/>
  <c r="L3" i="3"/>
  <c r="L4" i="3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L78" i="3"/>
  <c r="L79" i="3"/>
  <c r="L80" i="3"/>
  <c r="L81" i="3"/>
  <c r="L82" i="3"/>
  <c r="L83" i="3"/>
  <c r="L84" i="3"/>
  <c r="L85" i="3"/>
  <c r="L86" i="3"/>
  <c r="L87" i="3"/>
  <c r="L88" i="3"/>
  <c r="L89" i="3"/>
  <c r="L90" i="3"/>
  <c r="L91" i="3"/>
  <c r="L92" i="3"/>
  <c r="L93" i="3"/>
  <c r="L94" i="3"/>
  <c r="L95" i="3"/>
  <c r="L96" i="3"/>
  <c r="L97" i="3"/>
  <c r="L98" i="3"/>
  <c r="L99" i="3"/>
  <c r="L100" i="3"/>
  <c r="L101" i="3"/>
  <c r="L102" i="3"/>
  <c r="L103" i="3"/>
  <c r="L104" i="3"/>
  <c r="L105" i="3"/>
  <c r="L106" i="3"/>
  <c r="L107" i="3"/>
  <c r="L108" i="3"/>
  <c r="L109" i="3"/>
  <c r="L110" i="3"/>
  <c r="L111" i="3"/>
  <c r="L112" i="3"/>
  <c r="L113" i="3"/>
  <c r="L114" i="3"/>
  <c r="L115" i="3"/>
  <c r="L116" i="3"/>
  <c r="L117" i="3"/>
  <c r="L118" i="3"/>
  <c r="L119" i="3"/>
  <c r="L120" i="3"/>
  <c r="L121" i="3"/>
  <c r="L122" i="3"/>
  <c r="L123" i="3"/>
  <c r="L124" i="3"/>
  <c r="L125" i="3"/>
  <c r="L126" i="3"/>
  <c r="L127" i="3"/>
  <c r="L128" i="3"/>
  <c r="L129" i="3"/>
  <c r="L130" i="3"/>
  <c r="L131" i="3"/>
  <c r="L132" i="3"/>
  <c r="L133" i="3"/>
  <c r="L134" i="3"/>
  <c r="L135" i="3"/>
  <c r="L136" i="3"/>
  <c r="L137" i="3"/>
  <c r="L138" i="3"/>
  <c r="L139" i="3"/>
  <c r="L140" i="3"/>
  <c r="L141" i="3"/>
  <c r="L142" i="3"/>
  <c r="L143" i="3"/>
  <c r="L144" i="3"/>
  <c r="L145" i="3"/>
  <c r="L146" i="3"/>
  <c r="L147" i="3"/>
  <c r="L148" i="3"/>
  <c r="L149" i="3"/>
  <c r="L150" i="3"/>
  <c r="L151" i="3"/>
  <c r="L152" i="3"/>
  <c r="L153" i="3"/>
  <c r="L154" i="3"/>
  <c r="L155" i="3"/>
  <c r="L156" i="3"/>
  <c r="L157" i="3"/>
  <c r="L158" i="3"/>
  <c r="L159" i="3"/>
  <c r="L160" i="3"/>
  <c r="L161" i="3"/>
  <c r="L162" i="3"/>
  <c r="L163" i="3"/>
  <c r="L164" i="3"/>
  <c r="L165" i="3"/>
  <c r="L166" i="3"/>
  <c r="L167" i="3"/>
  <c r="L168" i="3"/>
  <c r="L169" i="3"/>
  <c r="L170" i="3"/>
  <c r="L171" i="3"/>
  <c r="L172" i="3"/>
  <c r="L173" i="3"/>
  <c r="L174" i="3"/>
  <c r="L175" i="3"/>
  <c r="L176" i="3"/>
  <c r="L177" i="3"/>
  <c r="L178" i="3"/>
  <c r="L179" i="3"/>
  <c r="L180" i="3"/>
  <c r="L181" i="3"/>
  <c r="L182" i="3"/>
  <c r="L183" i="3"/>
  <c r="L184" i="3"/>
  <c r="L185" i="3"/>
  <c r="L186" i="3"/>
  <c r="L187" i="3"/>
  <c r="L188" i="3"/>
  <c r="L189" i="3"/>
  <c r="L190" i="3"/>
  <c r="L191" i="3"/>
  <c r="L192" i="3"/>
  <c r="L193" i="3"/>
  <c r="L194" i="3"/>
  <c r="L195" i="3"/>
  <c r="L196" i="3"/>
  <c r="L197" i="3"/>
  <c r="L198" i="3"/>
  <c r="L199" i="3"/>
  <c r="L200" i="3"/>
  <c r="L201" i="3"/>
  <c r="L202" i="3"/>
  <c r="L203" i="3"/>
  <c r="L204" i="3"/>
  <c r="L205" i="3"/>
  <c r="L206" i="3"/>
  <c r="L207" i="3"/>
  <c r="O209" i="3" l="1"/>
  <c r="I209" i="3"/>
  <c r="Q199" i="3"/>
  <c r="Q200" i="3"/>
  <c r="Q201" i="3"/>
  <c r="Q202" i="3"/>
  <c r="Q203" i="3"/>
  <c r="Q204" i="3"/>
  <c r="Q205" i="3"/>
  <c r="Q206" i="3"/>
  <c r="Q207" i="3"/>
  <c r="Q198" i="3" l="1"/>
  <c r="K191" i="3"/>
  <c r="K192" i="3"/>
  <c r="K193" i="3"/>
  <c r="K194" i="3"/>
  <c r="K195" i="3"/>
  <c r="K196" i="3"/>
  <c r="K197" i="3"/>
  <c r="K198" i="3"/>
  <c r="K190" i="3"/>
  <c r="Q190" i="3"/>
  <c r="Q191" i="3"/>
  <c r="Q192" i="3"/>
  <c r="Q193" i="3"/>
  <c r="Q194" i="3"/>
  <c r="Q195" i="3"/>
  <c r="Q196" i="3"/>
  <c r="Q197" i="3"/>
  <c r="Q182" i="3"/>
  <c r="Q183" i="3"/>
  <c r="Q184" i="3"/>
  <c r="Q185" i="3"/>
  <c r="Q186" i="3"/>
  <c r="Q187" i="3"/>
  <c r="Q188" i="3"/>
  <c r="Q189" i="3"/>
  <c r="Q3" i="3"/>
  <c r="Q4" i="3"/>
  <c r="Q5" i="3"/>
  <c r="Q6" i="3"/>
  <c r="Q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  <c r="Q32" i="3"/>
  <c r="Q33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Q48" i="3"/>
  <c r="Q49" i="3"/>
  <c r="Q50" i="3"/>
  <c r="Q51" i="3"/>
  <c r="Q52" i="3"/>
  <c r="Q53" i="3"/>
  <c r="Q54" i="3"/>
  <c r="Q55" i="3"/>
  <c r="Q56" i="3"/>
  <c r="Q57" i="3"/>
  <c r="Q58" i="3"/>
  <c r="Q59" i="3"/>
  <c r="Q60" i="3"/>
  <c r="Q61" i="3"/>
  <c r="Q62" i="3"/>
  <c r="Q63" i="3"/>
  <c r="Q64" i="3"/>
  <c r="Q65" i="3"/>
  <c r="Q66" i="3"/>
  <c r="Q67" i="3"/>
  <c r="Q68" i="3"/>
  <c r="Q69" i="3"/>
  <c r="Q70" i="3"/>
  <c r="Q71" i="3"/>
  <c r="Q72" i="3"/>
  <c r="Q73" i="3"/>
  <c r="Q74" i="3"/>
  <c r="Q75" i="3"/>
  <c r="Q76" i="3"/>
  <c r="Q77" i="3"/>
  <c r="Q78" i="3"/>
  <c r="Q79" i="3"/>
  <c r="Q80" i="3"/>
  <c r="Q81" i="3"/>
  <c r="Q82" i="3"/>
  <c r="Q83" i="3"/>
  <c r="Q84" i="3"/>
  <c r="Q85" i="3"/>
  <c r="Q86" i="3"/>
  <c r="Q87" i="3"/>
  <c r="Q88" i="3"/>
  <c r="Q89" i="3"/>
  <c r="Q90" i="3"/>
  <c r="Q91" i="3"/>
  <c r="Q92" i="3"/>
  <c r="Q93" i="3"/>
  <c r="Q94" i="3"/>
  <c r="Q95" i="3"/>
  <c r="Q96" i="3"/>
  <c r="Q97" i="3"/>
  <c r="Q98" i="3"/>
  <c r="Q99" i="3"/>
  <c r="Q100" i="3"/>
  <c r="Q101" i="3"/>
  <c r="Q102" i="3"/>
  <c r="Q103" i="3"/>
  <c r="Q104" i="3"/>
  <c r="Q105" i="3"/>
  <c r="Q106" i="3"/>
  <c r="Q107" i="3"/>
  <c r="Q108" i="3"/>
  <c r="Q109" i="3"/>
  <c r="Q110" i="3"/>
  <c r="Q111" i="3"/>
  <c r="Q112" i="3"/>
  <c r="Q113" i="3"/>
  <c r="Q114" i="3"/>
  <c r="Q115" i="3"/>
  <c r="Q116" i="3"/>
  <c r="Q117" i="3"/>
  <c r="Q118" i="3"/>
  <c r="Q119" i="3"/>
  <c r="Q120" i="3"/>
  <c r="Q121" i="3"/>
  <c r="Q122" i="3"/>
  <c r="Q123" i="3"/>
  <c r="Q124" i="3"/>
  <c r="Q125" i="3"/>
  <c r="Q126" i="3"/>
  <c r="Q127" i="3"/>
  <c r="Q128" i="3"/>
  <c r="Q129" i="3"/>
  <c r="Q130" i="3"/>
  <c r="Q131" i="3"/>
  <c r="Q132" i="3"/>
  <c r="Q133" i="3"/>
  <c r="Q134" i="3"/>
  <c r="Q135" i="3"/>
  <c r="Q136" i="3"/>
  <c r="K136" i="3"/>
  <c r="Q137" i="3"/>
  <c r="Q138" i="3"/>
  <c r="Q139" i="3"/>
  <c r="Q140" i="3"/>
  <c r="K140" i="3"/>
  <c r="Q141" i="3"/>
  <c r="Q142" i="3"/>
  <c r="Q143" i="3"/>
  <c r="Q144" i="3"/>
  <c r="Q145" i="3"/>
  <c r="Q146" i="3"/>
  <c r="Q147" i="3"/>
  <c r="Q148" i="3"/>
  <c r="Q149" i="3"/>
  <c r="Q150" i="3"/>
  <c r="Q151" i="3"/>
  <c r="Q152" i="3"/>
  <c r="Q153" i="3"/>
  <c r="Q154" i="3"/>
  <c r="S29" i="3" a="1"/>
  <c r="S29" i="3" s="1"/>
  <c r="Q155" i="3"/>
  <c r="Q156" i="3"/>
  <c r="Q157" i="3"/>
  <c r="T26" i="3"/>
  <c r="Q158" i="3"/>
  <c r="Q159" i="3"/>
  <c r="Q160" i="3"/>
  <c r="Q161" i="3"/>
  <c r="Q162" i="3"/>
  <c r="Q163" i="3"/>
  <c r="Q164" i="3"/>
  <c r="Q165" i="3"/>
  <c r="Q166" i="3"/>
  <c r="K166" i="3"/>
  <c r="Q167" i="3"/>
  <c r="K167" i="3"/>
  <c r="Q168" i="3"/>
  <c r="K168" i="3"/>
  <c r="Q169" i="3"/>
  <c r="K169" i="3"/>
  <c r="Q170" i="3"/>
  <c r="K170" i="3"/>
  <c r="Q171" i="3"/>
  <c r="K171" i="3"/>
  <c r="Q172" i="3"/>
  <c r="K172" i="3"/>
  <c r="Q173" i="3"/>
  <c r="K173" i="3"/>
  <c r="Q174" i="3"/>
  <c r="Q175" i="3"/>
  <c r="Q176" i="3"/>
  <c r="Q177" i="3"/>
  <c r="Q178" i="3"/>
  <c r="Q179" i="3"/>
  <c r="Q180" i="3"/>
  <c r="Q181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<sst xmlns="http://schemas.openxmlformats.org/spreadsheetml/2006/main" count="1253" uniqueCount="478">
  <si>
    <t>IBC SEMESTER FINANCIAL SUMMARY</t>
  </si>
  <si>
    <t>Year</t>
  </si>
  <si>
    <t>Smstr</t>
  </si>
  <si>
    <t>#</t>
  </si>
  <si>
    <t>Company Name</t>
  </si>
  <si>
    <t>Primary Location</t>
  </si>
  <si>
    <t>Rent/Domain Amount 
for Primary Location</t>
  </si>
  <si>
    <t>Description</t>
  </si>
  <si>
    <t>Revenue</t>
  </si>
  <si>
    <t>COGS</t>
  </si>
  <si>
    <t>Gross Profit</t>
  </si>
  <si>
    <t>Operating Expenses</t>
  </si>
  <si>
    <t>Operating Income</t>
  </si>
  <si>
    <t>Net Income</t>
  </si>
  <si>
    <t>Ending Cash Balance</t>
  </si>
  <si>
    <t>Net Income Margin</t>
  </si>
  <si>
    <t>Winter</t>
  </si>
  <si>
    <t>A</t>
  </si>
  <si>
    <t>Teton Tacos</t>
  </si>
  <si>
    <t>Smith</t>
  </si>
  <si>
    <t>Tacos</t>
  </si>
  <si>
    <t>B</t>
  </si>
  <si>
    <t>43 North</t>
  </si>
  <si>
    <t>Library Ampitheatre</t>
  </si>
  <si>
    <t>Hot Chocolate</t>
  </si>
  <si>
    <t>C</t>
  </si>
  <si>
    <t>Royal</t>
  </si>
  <si>
    <t>MC</t>
  </si>
  <si>
    <t>Apparel</t>
  </si>
  <si>
    <t>D</t>
  </si>
  <si>
    <t>Shave and Shine</t>
  </si>
  <si>
    <t>E</t>
  </si>
  <si>
    <t>F</t>
  </si>
  <si>
    <t>Johnny's Diner</t>
  </si>
  <si>
    <t>Clark</t>
  </si>
  <si>
    <t>Burgers</t>
  </si>
  <si>
    <t>Spring</t>
  </si>
  <si>
    <t>Semester Notes</t>
  </si>
  <si>
    <t>Semester</t>
  </si>
  <si>
    <t>Notes</t>
  </si>
  <si>
    <t>1% interest, inconsistent labor, no rent, 30% tax</t>
  </si>
  <si>
    <t>Toasties</t>
  </si>
  <si>
    <t>Food</t>
  </si>
  <si>
    <t>Fall</t>
  </si>
  <si>
    <t>1% interest, no rent, 30% tax</t>
  </si>
  <si>
    <t>1% interest, varied rent by Location, 30% tax</t>
  </si>
  <si>
    <t>G</t>
  </si>
  <si>
    <t>1% interest, varied rent by locations, 30%</t>
  </si>
  <si>
    <t>Athens Grill</t>
  </si>
  <si>
    <t>Kimball</t>
  </si>
  <si>
    <t>?</t>
  </si>
  <si>
    <t>1% interest, varied rent by location, 30% tax</t>
  </si>
  <si>
    <t>Sips</t>
  </si>
  <si>
    <t>8 Week operation, 1% interest, varied rent by location, 30% tax</t>
  </si>
  <si>
    <t>Impressions</t>
  </si>
  <si>
    <t>Branded Apparel</t>
  </si>
  <si>
    <t>Rep T</t>
  </si>
  <si>
    <t>Date Box</t>
  </si>
  <si>
    <t>Online</t>
  </si>
  <si>
    <t>Spud Nation</t>
  </si>
  <si>
    <t>Stuffed Fries</t>
  </si>
  <si>
    <t>Chamaco</t>
  </si>
  <si>
    <t>Ricks</t>
  </si>
  <si>
    <t>Tamales</t>
  </si>
  <si>
    <t>1% interest, varied rent by location, 30% tax. We started removing labor and interest expense out of cash. We started this about 3 semesters ago.</t>
  </si>
  <si>
    <t>H</t>
  </si>
  <si>
    <t>Look Good Feel Good</t>
  </si>
  <si>
    <t>Ties</t>
  </si>
  <si>
    <t>1% interest, varied rent by location, 30% tax. Labor, Merchant Fees, Interest, and Rent are removed from labor</t>
  </si>
  <si>
    <t>BBQ</t>
  </si>
  <si>
    <t>Photo Booth</t>
  </si>
  <si>
    <t>Burritos</t>
  </si>
  <si>
    <t>Used =unique and find/replace</t>
  </si>
  <si>
    <t>Roam</t>
  </si>
  <si>
    <t>Primary Locations</t>
  </si>
  <si>
    <t>Prepackaged food</t>
  </si>
  <si>
    <t>Viking Rolls</t>
  </si>
  <si>
    <t>Sandwiches</t>
  </si>
  <si>
    <t>Boucy balls</t>
  </si>
  <si>
    <t>I</t>
  </si>
  <si>
    <t>Candy</t>
  </si>
  <si>
    <t>Tacontento</t>
  </si>
  <si>
    <t>Splash n'Dash</t>
  </si>
  <si>
    <t>By the Stadium</t>
  </si>
  <si>
    <t>Car Wash</t>
  </si>
  <si>
    <t>Shortstop</t>
  </si>
  <si>
    <t>Homemade Pretzels</t>
  </si>
  <si>
    <t>Le Belle</t>
  </si>
  <si>
    <t>Hot Diggity</t>
  </si>
  <si>
    <t>Hot Dogs</t>
  </si>
  <si>
    <t>Fro Zone</t>
  </si>
  <si>
    <t>Cold Treats</t>
  </si>
  <si>
    <t>The Lodge</t>
  </si>
  <si>
    <t>Hand Warmers</t>
  </si>
  <si>
    <t>Bitez</t>
  </si>
  <si>
    <t>Muffins</t>
  </si>
  <si>
    <t>Mexi Rexi</t>
  </si>
  <si>
    <t>STC</t>
  </si>
  <si>
    <t>Mexican Tortas</t>
  </si>
  <si>
    <t>Heaven Scent</t>
  </si>
  <si>
    <t>Scented Items</t>
  </si>
  <si>
    <t>Grizzly Wear</t>
  </si>
  <si>
    <t>Jewelry by Anson</t>
  </si>
  <si>
    <t>Jewelry</t>
  </si>
  <si>
    <t>Panini Plus</t>
  </si>
  <si>
    <t>Paninins</t>
  </si>
  <si>
    <t>Rexburg Co.</t>
  </si>
  <si>
    <t>The Meltdown</t>
  </si>
  <si>
    <t>Grilled Cheese</t>
  </si>
  <si>
    <t>The Sock Shop</t>
  </si>
  <si>
    <t>Socks</t>
  </si>
  <si>
    <t>Nature</t>
  </si>
  <si>
    <t>Lotions</t>
  </si>
  <si>
    <t>Wing Shack</t>
  </si>
  <si>
    <t>Crossroads</t>
  </si>
  <si>
    <t>Chicken Wings</t>
  </si>
  <si>
    <t>Acai Bowl</t>
  </si>
  <si>
    <t>Benson</t>
  </si>
  <si>
    <t>Acai Bowls (blended fruit bowls)</t>
  </si>
  <si>
    <t>Backyard BBQ</t>
  </si>
  <si>
    <t>BBQ pulled pork</t>
  </si>
  <si>
    <t>Simply Soft</t>
  </si>
  <si>
    <t>Impress</t>
  </si>
  <si>
    <t>Etched Wood products</t>
  </si>
  <si>
    <t>Treeline</t>
  </si>
  <si>
    <t>Hammock</t>
  </si>
  <si>
    <t>Ohana Hut</t>
  </si>
  <si>
    <t>Rice Bowl</t>
  </si>
  <si>
    <t>Doughlicious</t>
  </si>
  <si>
    <t>Cookie Dough</t>
  </si>
  <si>
    <t>Chanchos</t>
  </si>
  <si>
    <t>ParadICE</t>
  </si>
  <si>
    <t>Shaved Ice</t>
  </si>
  <si>
    <t>StickOut</t>
  </si>
  <si>
    <t>Vinyl Stickers</t>
  </si>
  <si>
    <t>Open Box Games</t>
  </si>
  <si>
    <t>Mormon card games</t>
  </si>
  <si>
    <t>Cozy Comforts</t>
  </si>
  <si>
    <t>Blankets</t>
  </si>
  <si>
    <t>Visual Records</t>
  </si>
  <si>
    <t>Home Decor (w/sound wave art)</t>
  </si>
  <si>
    <t>Dough Mama's Kitchen</t>
  </si>
  <si>
    <t>Kolaches</t>
  </si>
  <si>
    <t>Mama's Bistro</t>
  </si>
  <si>
    <t>Panini sandwiches and soup</t>
  </si>
  <si>
    <t>Wafel Co.</t>
  </si>
  <si>
    <t>Waffels</t>
  </si>
  <si>
    <t>Hot Spot</t>
  </si>
  <si>
    <t>Winter Clothes&amp;accessories</t>
  </si>
  <si>
    <t>Shredded Chicken</t>
  </si>
  <si>
    <t>Chicken Sandwiches</t>
  </si>
  <si>
    <t>The Coop</t>
  </si>
  <si>
    <t>Fried Chicken</t>
  </si>
  <si>
    <t>Soup City</t>
  </si>
  <si>
    <t>Soups</t>
  </si>
  <si>
    <t>Patch Co.</t>
  </si>
  <si>
    <t>Customized Hats</t>
  </si>
  <si>
    <t>Date Boxes</t>
  </si>
  <si>
    <t>Sawtooth Supply Co</t>
  </si>
  <si>
    <t>Billboard Duffle Bags</t>
  </si>
  <si>
    <t>Bee's Knees</t>
  </si>
  <si>
    <t>Skin Care Products</t>
  </si>
  <si>
    <t>Serenity</t>
  </si>
  <si>
    <t>Bath bombs</t>
  </si>
  <si>
    <t>Laurel Bee</t>
  </si>
  <si>
    <t>Honu Life</t>
  </si>
  <si>
    <t>Courtyard</t>
  </si>
  <si>
    <t>Hammocks, hats</t>
  </si>
  <si>
    <t>Shaves</t>
  </si>
  <si>
    <t>Shaved ice/hot dogs</t>
  </si>
  <si>
    <t>Joey &amp; Co</t>
  </si>
  <si>
    <t>Jurassic Wraps</t>
  </si>
  <si>
    <t>Wraps</t>
  </si>
  <si>
    <t>Imperial Rice</t>
  </si>
  <si>
    <t>Rice bowls</t>
  </si>
  <si>
    <t>Fantastic Foods</t>
  </si>
  <si>
    <t>Food packaging and delivery</t>
  </si>
  <si>
    <t>Gnarly Woodworks</t>
  </si>
  <si>
    <t>Wood rings</t>
  </si>
  <si>
    <t>Silver Lining</t>
  </si>
  <si>
    <t>ROFL Games</t>
  </si>
  <si>
    <t>Custom Games</t>
  </si>
  <si>
    <t>Lit</t>
  </si>
  <si>
    <t>Candles</t>
  </si>
  <si>
    <t>Copper Kettle</t>
  </si>
  <si>
    <t>Hot Chocolate, Baked Goods</t>
  </si>
  <si>
    <t>Lunch Box</t>
  </si>
  <si>
    <t>Cyber Sliders</t>
  </si>
  <si>
    <t>Slider Sandwiches</t>
  </si>
  <si>
    <t>Viva la Bowl</t>
  </si>
  <si>
    <t>Mexican Salads</t>
  </si>
  <si>
    <t>The Dunes</t>
  </si>
  <si>
    <t>Grab and Go Sandwiches</t>
  </si>
  <si>
    <t>Casa de Kimabll</t>
  </si>
  <si>
    <t>Street Taco's / Tostadas</t>
  </si>
  <si>
    <t>Rexadilla</t>
  </si>
  <si>
    <t>Austin</t>
  </si>
  <si>
    <t>Casadillas</t>
  </si>
  <si>
    <t>Sweetums</t>
  </si>
  <si>
    <t>Smith Street Tacos</t>
  </si>
  <si>
    <t>Street Taco's</t>
  </si>
  <si>
    <t>Rep-it</t>
  </si>
  <si>
    <t>Custom Apparel</t>
  </si>
  <si>
    <t>Bigfoot Stickers</t>
  </si>
  <si>
    <t>Stickers</t>
  </si>
  <si>
    <t>VNL</t>
  </si>
  <si>
    <t>Sticker Seal</t>
  </si>
  <si>
    <t>In The Loop</t>
  </si>
  <si>
    <t>Handmade Ties</t>
  </si>
  <si>
    <t>Phil's Philly Cheese Steaks</t>
  </si>
  <si>
    <t>philly cheese steaks</t>
  </si>
  <si>
    <t>Uncle Pops</t>
  </si>
  <si>
    <t>italian sodas</t>
  </si>
  <si>
    <t>The Shack</t>
  </si>
  <si>
    <t>Hot Dogs and shakes</t>
  </si>
  <si>
    <t>Boneless Bytes</t>
  </si>
  <si>
    <t>Boneless Chicken wings and Shakes</t>
  </si>
  <si>
    <t>Outdoorish</t>
  </si>
  <si>
    <t>Hammocks and Solar Chargers</t>
  </si>
  <si>
    <t>Yellow Stitch</t>
  </si>
  <si>
    <t>Women's Scrunchies</t>
  </si>
  <si>
    <t>The Dog House</t>
  </si>
  <si>
    <t>Boujee</t>
  </si>
  <si>
    <t>Essential Oils Products</t>
  </si>
  <si>
    <t>Paninies</t>
  </si>
  <si>
    <t>Bonga Beads</t>
  </si>
  <si>
    <t>Beaded Jewelry</t>
  </si>
  <si>
    <t>The Shoppe</t>
  </si>
  <si>
    <t>Candles; Plants; Misc</t>
  </si>
  <si>
    <t>Subtle, Me</t>
  </si>
  <si>
    <t>Custom Jewelry</t>
  </si>
  <si>
    <t>Batter Up</t>
  </si>
  <si>
    <t>Waffles Bites</t>
  </si>
  <si>
    <t>Salt Fix</t>
  </si>
  <si>
    <t>Soft Pretzels</t>
  </si>
  <si>
    <t>Boom! Toasted</t>
  </si>
  <si>
    <t>Gourmet Toast</t>
  </si>
  <si>
    <t>Pop Shop</t>
  </si>
  <si>
    <t>Mixed drinks</t>
  </si>
  <si>
    <t>Burro</t>
  </si>
  <si>
    <t>Breakfast burritos</t>
  </si>
  <si>
    <t>Switchback</t>
  </si>
  <si>
    <t>Outdoor apparel</t>
  </si>
  <si>
    <t>Sweet Traditions</t>
  </si>
  <si>
    <t>Recipe jars</t>
  </si>
  <si>
    <t>Cozy's</t>
  </si>
  <si>
    <t>Hot chocolate &amp; other</t>
  </si>
  <si>
    <t>Layers</t>
  </si>
  <si>
    <t>Wood jewelry</t>
  </si>
  <si>
    <t>Sweet Life</t>
  </si>
  <si>
    <t>Confections</t>
  </si>
  <si>
    <t>Uli</t>
  </si>
  <si>
    <t>Spoon/coin rings</t>
  </si>
  <si>
    <t>Taco Town</t>
  </si>
  <si>
    <t>Street tacos</t>
  </si>
  <si>
    <t>Rexburg Roots</t>
  </si>
  <si>
    <t>Game Box</t>
  </si>
  <si>
    <t>Card Games</t>
  </si>
  <si>
    <t>Alpacka Box</t>
  </si>
  <si>
    <t>Custom Gift Boxes</t>
  </si>
  <si>
    <t>Fibra Bands</t>
  </si>
  <si>
    <t>Wrist Bands w/ Functions</t>
  </si>
  <si>
    <t>Hidden  Gems</t>
  </si>
  <si>
    <t>Rotated</t>
  </si>
  <si>
    <t>Adventure Packs (Cards with Locations)</t>
  </si>
  <si>
    <t>Golden Teton Clay</t>
  </si>
  <si>
    <t>Clay jewelry</t>
  </si>
  <si>
    <t>Groovy Mama</t>
  </si>
  <si>
    <t>Tie-dye Apparel</t>
  </si>
  <si>
    <t>Mind Full</t>
  </si>
  <si>
    <t>StLibrary Ampitheatreed Jewelry</t>
  </si>
  <si>
    <t>Gator Gains</t>
  </si>
  <si>
    <t>Gator Masks</t>
  </si>
  <si>
    <t>Ella Rain Jewelry</t>
  </si>
  <si>
    <t>Metal Jewlery</t>
  </si>
  <si>
    <t>BeanPatch</t>
  </si>
  <si>
    <t>Patch Beanies</t>
  </si>
  <si>
    <t>Rexburg Life</t>
  </si>
  <si>
    <t xml:space="preserve">Website for housing options </t>
  </si>
  <si>
    <t>Cherie Jewlery Co</t>
  </si>
  <si>
    <t>Resin Jewlery</t>
  </si>
  <si>
    <t>Nomad</t>
  </si>
  <si>
    <t>Embroidered Beanies</t>
  </si>
  <si>
    <t>Bel Arome</t>
  </si>
  <si>
    <t>Candels</t>
  </si>
  <si>
    <t>Social Survival</t>
  </si>
  <si>
    <t>Date Night Kits</t>
  </si>
  <si>
    <t>The Hunt</t>
  </si>
  <si>
    <t>Scavenger Hunts</t>
  </si>
  <si>
    <t>Paxil</t>
  </si>
  <si>
    <t>Mexican Woven Fabrics</t>
  </si>
  <si>
    <t>R Home Stickers</t>
  </si>
  <si>
    <t>EZ Breezy</t>
  </si>
  <si>
    <t xml:space="preserve">Summer Rental </t>
  </si>
  <si>
    <t>Grungy Goat</t>
  </si>
  <si>
    <t>Bleached Tees</t>
  </si>
  <si>
    <t>Sewly</t>
  </si>
  <si>
    <t>Scrunchies</t>
  </si>
  <si>
    <t>Buzzle</t>
  </si>
  <si>
    <t>Bath Bombs</t>
  </si>
  <si>
    <t>Karate Wash</t>
  </si>
  <si>
    <t>Dunes and Co</t>
  </si>
  <si>
    <t>Sand Dyed Tees</t>
  </si>
  <si>
    <t>Funky Monkey Thrift Shop</t>
  </si>
  <si>
    <t>Outside</t>
  </si>
  <si>
    <t>Selling donated clothes</t>
  </si>
  <si>
    <t>Waypoint</t>
  </si>
  <si>
    <t>Hoodies of various places</t>
  </si>
  <si>
    <t>Spirit of Wix</t>
  </si>
  <si>
    <t xml:space="preserve">FitCheck Apparel </t>
  </si>
  <si>
    <t>Tshirts with Rexburg sayings</t>
  </si>
  <si>
    <t>Remember When</t>
  </si>
  <si>
    <t>Adventure Book</t>
  </si>
  <si>
    <t>Cozy Co</t>
  </si>
  <si>
    <t>Handwarmers</t>
  </si>
  <si>
    <t>Parks n Rex</t>
  </si>
  <si>
    <t>National Parks T-shirts</t>
  </si>
  <si>
    <t>Outlandish</t>
  </si>
  <si>
    <t>Customizable Hoodies</t>
  </si>
  <si>
    <t>The Apricot Tree</t>
  </si>
  <si>
    <t>Popcorn &amp; Pretzels</t>
  </si>
  <si>
    <t>Cheese Louise</t>
  </si>
  <si>
    <t>Mac n Cheese</t>
  </si>
  <si>
    <t>Stroop There It Is</t>
  </si>
  <si>
    <t>Stroopwafels</t>
  </si>
  <si>
    <t>Chap'd</t>
  </si>
  <si>
    <t>I-Center</t>
  </si>
  <si>
    <t>Chapstick</t>
  </si>
  <si>
    <t>208 Stitch</t>
  </si>
  <si>
    <t>Hart</t>
  </si>
  <si>
    <t>Water bottle coozie</t>
  </si>
  <si>
    <t>The Teahive</t>
  </si>
  <si>
    <t>35 (25 + 10 for tent)</t>
  </si>
  <si>
    <t>Tea and protein bytes</t>
  </si>
  <si>
    <t>Splash</t>
  </si>
  <si>
    <t>Tie dye socks</t>
  </si>
  <si>
    <t>The Myx</t>
  </si>
  <si>
    <t>Trail mix &amp; power bites</t>
  </si>
  <si>
    <t>Cardway to Heaven</t>
  </si>
  <si>
    <t>Rexburg themed card games</t>
  </si>
  <si>
    <t>Woofles</t>
  </si>
  <si>
    <t>Snow</t>
  </si>
  <si>
    <t>25/35</t>
  </si>
  <si>
    <t>Waffles</t>
  </si>
  <si>
    <t>Road Bum</t>
  </si>
  <si>
    <t xml:space="preserve">Tie-dye Shirts and Hats </t>
  </si>
  <si>
    <t>Super Freeze</t>
  </si>
  <si>
    <t>Freeze dried candy and fruit</t>
  </si>
  <si>
    <t>Churro a la Rex</t>
  </si>
  <si>
    <t>Churros</t>
  </si>
  <si>
    <t>Carnival Cravings</t>
  </si>
  <si>
    <t>Cotton Candy &amp; Carnival Games</t>
  </si>
  <si>
    <t>Mad Dawg</t>
  </si>
  <si>
    <t xml:space="preserve">Hot Dogs </t>
  </si>
  <si>
    <t>N'ice</t>
  </si>
  <si>
    <t xml:space="preserve">Shaved Ice </t>
  </si>
  <si>
    <t>Scratch</t>
  </si>
  <si>
    <t>Date cards/packs</t>
  </si>
  <si>
    <t>DaniCakes</t>
  </si>
  <si>
    <t>Danish pancakes</t>
  </si>
  <si>
    <t>Pretzel Parlor</t>
  </si>
  <si>
    <t>Covered pretzels(hard) sticks</t>
  </si>
  <si>
    <t>The Cookie Jar</t>
  </si>
  <si>
    <t>Pre-made cookie mixes</t>
  </si>
  <si>
    <t>Banded Together</t>
  </si>
  <si>
    <t>Spoon Rings/necklaces/jewelery</t>
  </si>
  <si>
    <t>FryNight</t>
  </si>
  <si>
    <t>Loaded Fries</t>
  </si>
  <si>
    <t>Twisted Pretzels</t>
  </si>
  <si>
    <t>Scrubalicious</t>
  </si>
  <si>
    <t>Homemade body and lip scrubs</t>
  </si>
  <si>
    <t>Golden Links</t>
  </si>
  <si>
    <t>Permanenant jewlery</t>
  </si>
  <si>
    <t>Unboxed</t>
  </si>
  <si>
    <t>Brownies</t>
  </si>
  <si>
    <t>Rogers</t>
  </si>
  <si>
    <t>Shave cream for sensitive skin</t>
  </si>
  <si>
    <t>Swift Blend</t>
  </si>
  <si>
    <t>Hot Chocolate (gourmet)</t>
  </si>
  <si>
    <t>After Hours</t>
  </si>
  <si>
    <t>Wings and Mocktails</t>
  </si>
  <si>
    <t>CereALLS</t>
  </si>
  <si>
    <t>Cereal balls</t>
  </si>
  <si>
    <t>MemoRays</t>
  </si>
  <si>
    <t>Laser engraving</t>
  </si>
  <si>
    <t>Wickalicous</t>
  </si>
  <si>
    <t>Food scented candles</t>
  </si>
  <si>
    <t>1793 &amp; Co</t>
  </si>
  <si>
    <t>Ampatheater</t>
  </si>
  <si>
    <t>Coin Rings</t>
  </si>
  <si>
    <t>Walk'in Tacos</t>
  </si>
  <si>
    <t>Night MC</t>
  </si>
  <si>
    <t>Tacos in chip bags</t>
  </si>
  <si>
    <t>The Chap Shack</t>
  </si>
  <si>
    <t>chapstick, lip oils</t>
  </si>
  <si>
    <t>Dashing Dough</t>
  </si>
  <si>
    <t>Donuts and frozen drinks</t>
  </si>
  <si>
    <t>Bussin' Butter</t>
  </si>
  <si>
    <t>skin lotions with shea butter</t>
  </si>
  <si>
    <t>New Life</t>
  </si>
  <si>
    <t>bleached shirts and terariums</t>
  </si>
  <si>
    <t>Brims</t>
  </si>
  <si>
    <t>Hats and pathces</t>
  </si>
  <si>
    <t>Dippers</t>
  </si>
  <si>
    <t>Sandwich sticks</t>
  </si>
  <si>
    <t>Easy Peasy</t>
  </si>
  <si>
    <t>Ricks/Hinkley/Outside</t>
  </si>
  <si>
    <t>Lemonade and Cookies</t>
  </si>
  <si>
    <t>CheFigo</t>
  </si>
  <si>
    <t>Itlian Charm Braclets</t>
  </si>
  <si>
    <t>Homeslice</t>
  </si>
  <si>
    <t>Homemade fun bread</t>
  </si>
  <si>
    <t>Tia Tortilla</t>
  </si>
  <si>
    <t>Authentic Tacos</t>
  </si>
  <si>
    <t>Your Signature Jewlery</t>
  </si>
  <si>
    <t>Custom Engraved Necklaces and other items</t>
  </si>
  <si>
    <t>Off-Shore</t>
  </si>
  <si>
    <t>Seaglass jewlery and hoodies</t>
  </si>
  <si>
    <t>On-A-Stick</t>
  </si>
  <si>
    <t>Deserts on a stick</t>
  </si>
  <si>
    <t>Mac Dad</t>
  </si>
  <si>
    <t>Mac and Cheese</t>
  </si>
  <si>
    <t>Frozone</t>
  </si>
  <si>
    <t>Frozen yogurt and and shakes</t>
  </si>
  <si>
    <t>Sunday Blues</t>
  </si>
  <si>
    <t>Solar printed apparel</t>
  </si>
  <si>
    <t>Historic Averages by Year</t>
  </si>
  <si>
    <t>Financial averages by year; IBC trends over time</t>
  </si>
  <si>
    <t>Revenue Average</t>
  </si>
  <si>
    <t>COGS Average</t>
  </si>
  <si>
    <t>Gross Profit Average</t>
  </si>
  <si>
    <t>Operating Expense Average</t>
  </si>
  <si>
    <t>Operating Income Average</t>
  </si>
  <si>
    <t>Net Income Average</t>
  </si>
  <si>
    <t>Cash Balance Average</t>
  </si>
  <si>
    <t>Grand Total</t>
  </si>
  <si>
    <t>Revenue Totals</t>
  </si>
  <si>
    <t>COGS Totals</t>
  </si>
  <si>
    <t>Gross Profit Totals</t>
  </si>
  <si>
    <t>Operating Expense Totals</t>
  </si>
  <si>
    <t>Operating Income Totals</t>
  </si>
  <si>
    <t>Net Income Totals</t>
  </si>
  <si>
    <t>Cash Balance Totals</t>
  </si>
  <si>
    <t>Location Analysis Suggestions</t>
  </si>
  <si>
    <t>Graphs and comments from the 'Analyze Data' tool</t>
  </si>
  <si>
    <t>Sum of Net Income</t>
  </si>
  <si>
    <t>(blank)</t>
  </si>
  <si>
    <t>Sum of Operating Income</t>
  </si>
  <si>
    <t>Sum of Revenue</t>
  </si>
  <si>
    <t>Sum of COGS</t>
  </si>
  <si>
    <t>Winter 2023</t>
  </si>
  <si>
    <t>Pope-03</t>
  </si>
  <si>
    <t>ᴁParameters</t>
  </si>
  <si>
    <t>FUNCTION</t>
  </si>
  <si>
    <t>Call</t>
  </si>
  <si>
    <t>WriteToWorksheet_worksheet</t>
  </si>
  <si>
    <t>WriteToWorksheet_topleftcell</t>
  </si>
  <si>
    <t>WriteToWorksheet_preserveformat</t>
  </si>
  <si>
    <t>AppendToWorksheet_worksheet</t>
  </si>
  <si>
    <t>AppendToWorksheet_topleftcell</t>
  </si>
  <si>
    <t>AppendToWorksheet_noupdate</t>
  </si>
  <si>
    <t>AppendToWorksheet_update</t>
  </si>
  <si>
    <t>aeConnectorGoogleAnalyticsFree.CoreReports_account</t>
  </si>
  <si>
    <t>aeConnectorGoogleAnalyticsFree.CoreReports_ga_account_id</t>
  </si>
  <si>
    <t>aeConnectorGoogleAnalyticsFree.CoreReports_ga_property_id</t>
  </si>
  <si>
    <t>aeConnectorGoogleAnalyticsFree.CoreReports_ga_view_id</t>
  </si>
  <si>
    <t>aeConnectorGoogleAnalyticsFree.CoreReports_ga_segment_id</t>
  </si>
  <si>
    <t>aeConnectorGoogleAnalyticsFree.CoreReports_metadata</t>
  </si>
  <si>
    <t>aeConnectorGoogleAnalyticsFree.CoreReports_dimensions</t>
  </si>
  <si>
    <t>aeConnectorGoogleAnalyticsFree.CoreReports_metrics</t>
  </si>
  <si>
    <t>aeConnectorGoogleAnalyticsFree.CoreReports_durationnumber</t>
  </si>
  <si>
    <t>aeConnectorGoogleAnalyticsFree.CoreReports_durationperiod</t>
  </si>
  <si>
    <t>aeConnectorGoogleAnalyticsFree.CoreReports_endat</t>
  </si>
  <si>
    <t>aeConnectorGoogleAnalyticsFree.CoreReports_sortby</t>
  </si>
  <si>
    <t>aeConnectorGoogleAnalyticsFree.CoreReports_timemetsasday</t>
  </si>
  <si>
    <t>aeConnectorGoogleAnalyticsFree.CoreReports_use_ga_view_id</t>
  </si>
  <si>
    <t>Campus</t>
  </si>
  <si>
    <t>Gross Margin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</si>
</sst>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164" formatCode="&quot;$&quot;#,##0"/>
    <numFmt numFmtId="165" formatCode="_([$$-409]* #,##0_);_([$$-409]* \(#,##0\);_([$$-409]* &quot;-&quot;??_);_(@_)"/>
    <numFmt numFmtId="166" formatCode="_(&quot;$&quot;* #,##0_);_(&quot;$&quot;* \(#,##0\);_(&quot;$&quot;* &quot;-&quot;??_);_(@_)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sz val="11"/>
      <color rgb="FF3F3F76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2"/>
      <color theme="1"/>
      <name val="Calibri"/>
      <family val="2"/>
    </font>
    <font>
      <sz val="12"/>
      <color rgb="FF000000"/>
      <name val="Calibri"/>
      <family val="2"/>
    </font>
    <font>
      <sz val="11"/>
      <color theme="1"/>
      <name val="Calibri"/>
      <family val="2"/>
    </font>
    <font>
      <sz val="10"/>
      <color theme="1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1"/>
      <color rgb="FF000000"/>
      <name val="Calibri"/>
    </font>
  </fonts>
  <fills count="29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C8C8C8"/>
        <bgColor rgb="FFC8C8C8"/>
      </patternFill>
    </fill>
    <fill>
      <patternFill patternType="solid">
        <fgColor rgb="FFFFFF99"/>
        <bgColor rgb="FFFFFF99"/>
      </patternFill>
    </fill>
    <fill>
      <patternFill patternType="solid">
        <fgColor rgb="FFF9CB9C"/>
        <bgColor rgb="FFF9CB9C"/>
      </patternFill>
    </fill>
    <fill>
      <patternFill patternType="solid">
        <fgColor rgb="FFC5E0B3"/>
        <bgColor rgb="FFC5E0B3"/>
      </patternFill>
    </fill>
    <fill>
      <patternFill patternType="solid">
        <fgColor rgb="FFD9D2E9"/>
        <bgColor rgb="FFD9D2E9"/>
      </patternFill>
    </fill>
    <fill>
      <patternFill patternType="solid">
        <fgColor rgb="FFEAD1DC"/>
        <bgColor rgb="FFEAD1DC"/>
      </patternFill>
    </fill>
    <fill>
      <patternFill patternType="solid">
        <fgColor rgb="FFD5A6BD"/>
        <bgColor rgb="FFD5A6BD"/>
      </patternFill>
    </fill>
    <fill>
      <patternFill patternType="solid">
        <fgColor rgb="FFE6B8AF"/>
        <bgColor rgb="FFE6B8AF"/>
      </patternFill>
    </fill>
    <fill>
      <patternFill patternType="solid">
        <fgColor rgb="FFF6B26B"/>
        <bgColor rgb="FFF6B26B"/>
      </patternFill>
    </fill>
    <fill>
      <patternFill patternType="solid">
        <fgColor rgb="FFB6D7A8"/>
        <bgColor rgb="FFB6D7A8"/>
      </patternFill>
    </fill>
    <fill>
      <patternFill patternType="solid">
        <fgColor rgb="FFFFF2CC"/>
        <bgColor rgb="FFFFF2CC"/>
      </patternFill>
    </fill>
    <fill>
      <patternFill patternType="solid">
        <fgColor rgb="FFFF9900"/>
        <bgColor rgb="FFFF9900"/>
      </patternFill>
    </fill>
    <fill>
      <patternFill patternType="solid">
        <fgColor rgb="FFA4C2F4"/>
        <bgColor rgb="FFA4C2F4"/>
      </patternFill>
    </fill>
    <fill>
      <patternFill patternType="solid">
        <fgColor rgb="FF00FF00"/>
        <bgColor rgb="FF00FF00"/>
      </patternFill>
    </fill>
    <fill>
      <patternFill patternType="solid">
        <fgColor rgb="FFFC8D0D"/>
        <bgColor indexed="64"/>
      </patternFill>
    </fill>
    <fill>
      <patternFill patternType="solid">
        <fgColor rgb="FF00FFFF"/>
        <bgColor rgb="FF00FFFF"/>
      </patternFill>
    </fill>
    <fill>
      <patternFill patternType="solid">
        <fgColor rgb="FFD0CECE"/>
        <bgColor indexed="64"/>
      </patternFill>
    </fill>
    <fill>
      <patternFill patternType="solid">
        <fgColor rgb="FFFFE699"/>
        <bgColor rgb="FFFFE699"/>
      </patternFill>
    </fill>
    <fill>
      <patternFill patternType="solid">
        <fgColor rgb="FFA9D08E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6BFF0F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D0B4E0"/>
        <bgColor indexed="64"/>
      </patternFill>
    </fill>
  </fills>
  <borders count="3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medium">
        <color rgb="FF000000"/>
      </left>
      <right style="thin">
        <color rgb="FF7F7F7F"/>
      </right>
      <top style="medium">
        <color rgb="FF000000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medium">
        <color rgb="FF000000"/>
      </top>
      <bottom style="thin">
        <color rgb="FF7F7F7F"/>
      </bottom>
      <diagonal/>
    </border>
    <border>
      <left style="thin">
        <color rgb="FF7F7F7F"/>
      </left>
      <right style="medium">
        <color rgb="FF000000"/>
      </right>
      <top style="medium">
        <color rgb="FF000000"/>
      </top>
      <bottom style="thin">
        <color rgb="FF7F7F7F"/>
      </bottom>
      <diagonal/>
    </border>
    <border>
      <left style="medium">
        <color rgb="FF000000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rgb="FF000000"/>
      </right>
      <top style="thin">
        <color rgb="FF7F7F7F"/>
      </top>
      <bottom style="thin">
        <color rgb="FF7F7F7F"/>
      </bottom>
      <diagonal/>
    </border>
    <border>
      <left style="medium">
        <color rgb="FF000000"/>
      </left>
      <right style="thin">
        <color rgb="FF7F7F7F"/>
      </right>
      <top style="thin">
        <color rgb="FF7F7F7F"/>
      </top>
      <bottom style="medium">
        <color rgb="FF000000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rgb="FF000000"/>
      </bottom>
      <diagonal/>
    </border>
    <border>
      <left style="thin">
        <color rgb="FF7F7F7F"/>
      </left>
      <right style="medium">
        <color rgb="FF000000"/>
      </right>
      <top style="thin">
        <color rgb="FF7F7F7F"/>
      </top>
      <bottom style="medium">
        <color rgb="FF000000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medium">
        <color indexed="64"/>
      </right>
      <top style="thin">
        <color rgb="FF7F7F7F"/>
      </top>
      <bottom/>
      <diagonal/>
    </border>
    <border>
      <left style="medium">
        <color rgb="FF000000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medium">
        <color rgb="FF000000"/>
      </right>
      <top style="thin">
        <color rgb="FF7F7F7F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</borders>
  <cellStyleXfs count="6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2" borderId="1" applyNumberFormat="0" applyAlignment="0" applyProtection="0"/>
    <xf numFmtId="0" fontId="4" fillId="0" borderId="0" applyNumberFormat="0" applyFill="0" applyBorder="0" applyAlignment="0" applyProtection="0"/>
  </cellStyleXfs>
  <cellXfs count="240">
    <xf numFmtId="0" fontId="0" fillId="0" borderId="0" xfId="0"/>
    <xf numFmtId="49" fontId="0" fillId="0" borderId="0" xfId="0" applyNumberFormat="1"/>
    <xf numFmtId="0" fontId="5" fillId="0" borderId="0" xfId="0" applyFont="1"/>
    <xf numFmtId="0" fontId="6" fillId="0" borderId="0" xfId="0" applyFont="1"/>
    <xf numFmtId="0" fontId="6" fillId="3" borderId="2" xfId="0" applyFont="1" applyFill="1" applyBorder="1" applyAlignment="1">
      <alignment horizontal="center"/>
    </xf>
    <xf numFmtId="0" fontId="6" fillId="4" borderId="2" xfId="0" applyFont="1" applyFill="1" applyBorder="1" applyAlignment="1">
      <alignment horizontal="center"/>
    </xf>
    <xf numFmtId="9" fontId="5" fillId="0" borderId="0" xfId="2" applyFont="1"/>
    <xf numFmtId="0" fontId="7" fillId="0" borderId="0" xfId="0" applyFont="1"/>
    <xf numFmtId="0" fontId="8" fillId="0" borderId="0" xfId="0" applyFont="1"/>
    <xf numFmtId="0" fontId="6" fillId="0" borderId="0" xfId="0" applyFont="1" applyAlignment="1">
      <alignment horizontal="center"/>
    </xf>
    <xf numFmtId="164" fontId="6" fillId="4" borderId="2" xfId="0" applyNumberFormat="1" applyFont="1" applyFill="1" applyBorder="1" applyAlignment="1">
      <alignment horizontal="center"/>
    </xf>
    <xf numFmtId="0" fontId="6" fillId="5" borderId="2" xfId="0" applyFont="1" applyFill="1" applyBorder="1" applyAlignment="1">
      <alignment horizontal="center"/>
    </xf>
    <xf numFmtId="0" fontId="9" fillId="4" borderId="2" xfId="0" applyFont="1" applyFill="1" applyBorder="1" applyAlignment="1">
      <alignment horizontal="right"/>
    </xf>
    <xf numFmtId="0" fontId="9" fillId="4" borderId="2" xfId="0" applyFont="1" applyFill="1" applyBorder="1"/>
    <xf numFmtId="164" fontId="6" fillId="5" borderId="2" xfId="0" applyNumberFormat="1" applyFont="1" applyFill="1" applyBorder="1" applyAlignment="1">
      <alignment horizontal="center"/>
    </xf>
    <xf numFmtId="0" fontId="6" fillId="6" borderId="2" xfId="0" applyFont="1" applyFill="1" applyBorder="1" applyAlignment="1">
      <alignment horizontal="center"/>
    </xf>
    <xf numFmtId="0" fontId="6" fillId="7" borderId="2" xfId="0" applyFont="1" applyFill="1" applyBorder="1" applyAlignment="1">
      <alignment horizontal="center"/>
    </xf>
    <xf numFmtId="164" fontId="6" fillId="7" borderId="2" xfId="0" applyNumberFormat="1" applyFont="1" applyFill="1" applyBorder="1" applyAlignment="1">
      <alignment horizontal="center"/>
    </xf>
    <xf numFmtId="164" fontId="6" fillId="0" borderId="0" xfId="0" applyNumberFormat="1" applyFont="1"/>
    <xf numFmtId="164" fontId="6" fillId="6" borderId="2" xfId="0" applyNumberFormat="1" applyFont="1" applyFill="1" applyBorder="1" applyAlignment="1">
      <alignment horizontal="center"/>
    </xf>
    <xf numFmtId="0" fontId="6" fillId="8" borderId="2" xfId="0" applyFont="1" applyFill="1" applyBorder="1" applyAlignment="1">
      <alignment horizontal="center"/>
    </xf>
    <xf numFmtId="164" fontId="6" fillId="8" borderId="2" xfId="0" applyNumberFormat="1" applyFont="1" applyFill="1" applyBorder="1" applyAlignment="1">
      <alignment horizontal="center"/>
    </xf>
    <xf numFmtId="0" fontId="6" fillId="9" borderId="2" xfId="0" applyFont="1" applyFill="1" applyBorder="1" applyAlignment="1">
      <alignment horizontal="center"/>
    </xf>
    <xf numFmtId="164" fontId="6" fillId="9" borderId="2" xfId="0" applyNumberFormat="1" applyFont="1" applyFill="1" applyBorder="1" applyAlignment="1">
      <alignment horizontal="center"/>
    </xf>
    <xf numFmtId="10" fontId="6" fillId="0" borderId="0" xfId="0" applyNumberFormat="1" applyFont="1" applyAlignment="1">
      <alignment horizontal="right"/>
    </xf>
    <xf numFmtId="0" fontId="5" fillId="9" borderId="2" xfId="0" applyFont="1" applyFill="1" applyBorder="1" applyAlignment="1">
      <alignment horizontal="center"/>
    </xf>
    <xf numFmtId="0" fontId="6" fillId="10" borderId="2" xfId="0" applyFont="1" applyFill="1" applyBorder="1" applyAlignment="1">
      <alignment horizontal="center"/>
    </xf>
    <xf numFmtId="164" fontId="6" fillId="10" borderId="2" xfId="0" applyNumberFormat="1" applyFont="1" applyFill="1" applyBorder="1" applyAlignment="1">
      <alignment horizontal="center"/>
    </xf>
    <xf numFmtId="0" fontId="6" fillId="11" borderId="2" xfId="0" applyFont="1" applyFill="1" applyBorder="1" applyAlignment="1">
      <alignment horizontal="right"/>
    </xf>
    <xf numFmtId="0" fontId="6" fillId="11" borderId="2" xfId="0" applyFont="1" applyFill="1" applyBorder="1" applyAlignment="1">
      <alignment horizontal="center"/>
    </xf>
    <xf numFmtId="0" fontId="6" fillId="11" borderId="2" xfId="0" applyFont="1" applyFill="1" applyBorder="1"/>
    <xf numFmtId="164" fontId="6" fillId="11" borderId="2" xfId="0" applyNumberFormat="1" applyFont="1" applyFill="1" applyBorder="1" applyAlignment="1">
      <alignment horizontal="center"/>
    </xf>
    <xf numFmtId="0" fontId="6" fillId="12" borderId="2" xfId="0" applyFont="1" applyFill="1" applyBorder="1" applyAlignment="1">
      <alignment horizontal="right"/>
    </xf>
    <xf numFmtId="0" fontId="6" fillId="12" borderId="2" xfId="0" applyFont="1" applyFill="1" applyBorder="1"/>
    <xf numFmtId="0" fontId="6" fillId="12" borderId="2" xfId="0" applyFont="1" applyFill="1" applyBorder="1" applyAlignment="1">
      <alignment horizontal="center"/>
    </xf>
    <xf numFmtId="164" fontId="6" fillId="12" borderId="2" xfId="0" applyNumberFormat="1" applyFont="1" applyFill="1" applyBorder="1" applyAlignment="1">
      <alignment horizontal="center"/>
    </xf>
    <xf numFmtId="164" fontId="6" fillId="12" borderId="2" xfId="0" applyNumberFormat="1" applyFont="1" applyFill="1" applyBorder="1" applyAlignment="1">
      <alignment horizontal="right"/>
    </xf>
    <xf numFmtId="164" fontId="5" fillId="12" borderId="2" xfId="0" applyNumberFormat="1" applyFont="1" applyFill="1" applyBorder="1" applyAlignment="1">
      <alignment horizontal="right"/>
    </xf>
    <xf numFmtId="0" fontId="6" fillId="13" borderId="2" xfId="0" applyFont="1" applyFill="1" applyBorder="1" applyAlignment="1">
      <alignment horizontal="right"/>
    </xf>
    <xf numFmtId="0" fontId="6" fillId="13" borderId="2" xfId="0" applyFont="1" applyFill="1" applyBorder="1"/>
    <xf numFmtId="164" fontId="6" fillId="13" borderId="2" xfId="0" applyNumberFormat="1" applyFont="1" applyFill="1" applyBorder="1" applyAlignment="1">
      <alignment horizontal="center"/>
    </xf>
    <xf numFmtId="164" fontId="6" fillId="13" borderId="2" xfId="0" applyNumberFormat="1" applyFont="1" applyFill="1" applyBorder="1" applyAlignment="1">
      <alignment horizontal="right"/>
    </xf>
    <xf numFmtId="0" fontId="6" fillId="14" borderId="2" xfId="0" applyFont="1" applyFill="1" applyBorder="1" applyAlignment="1">
      <alignment horizontal="right"/>
    </xf>
    <xf numFmtId="0" fontId="6" fillId="14" borderId="2" xfId="0" applyFont="1" applyFill="1" applyBorder="1"/>
    <xf numFmtId="164" fontId="6" fillId="14" borderId="2" xfId="0" applyNumberFormat="1" applyFont="1" applyFill="1" applyBorder="1" applyAlignment="1">
      <alignment horizontal="center"/>
    </xf>
    <xf numFmtId="164" fontId="6" fillId="14" borderId="2" xfId="0" applyNumberFormat="1" applyFont="1" applyFill="1" applyBorder="1" applyAlignment="1">
      <alignment horizontal="right"/>
    </xf>
    <xf numFmtId="164" fontId="5" fillId="14" borderId="2" xfId="0" applyNumberFormat="1" applyFont="1" applyFill="1" applyBorder="1" applyAlignment="1">
      <alignment horizontal="right"/>
    </xf>
    <xf numFmtId="0" fontId="6" fillId="15" borderId="2" xfId="0" applyFont="1" applyFill="1" applyBorder="1" applyAlignment="1">
      <alignment horizontal="right"/>
    </xf>
    <xf numFmtId="0" fontId="6" fillId="15" borderId="2" xfId="0" applyFont="1" applyFill="1" applyBorder="1"/>
    <xf numFmtId="164" fontId="6" fillId="15" borderId="2" xfId="0" applyNumberFormat="1" applyFont="1" applyFill="1" applyBorder="1" applyAlignment="1">
      <alignment horizontal="center"/>
    </xf>
    <xf numFmtId="164" fontId="5" fillId="15" borderId="2" xfId="0" applyNumberFormat="1" applyFont="1" applyFill="1" applyBorder="1" applyAlignment="1">
      <alignment horizontal="right"/>
    </xf>
    <xf numFmtId="164" fontId="6" fillId="15" borderId="2" xfId="0" applyNumberFormat="1" applyFont="1" applyFill="1" applyBorder="1" applyAlignment="1">
      <alignment horizontal="right"/>
    </xf>
    <xf numFmtId="0" fontId="6" fillId="16" borderId="2" xfId="0" applyFont="1" applyFill="1" applyBorder="1" applyAlignment="1">
      <alignment horizontal="right"/>
    </xf>
    <xf numFmtId="0" fontId="6" fillId="16" borderId="2" xfId="0" applyFont="1" applyFill="1" applyBorder="1"/>
    <xf numFmtId="164" fontId="6" fillId="16" borderId="2" xfId="0" applyNumberFormat="1" applyFont="1" applyFill="1" applyBorder="1" applyAlignment="1">
      <alignment horizontal="right"/>
    </xf>
    <xf numFmtId="164" fontId="5" fillId="16" borderId="2" xfId="0" applyNumberFormat="1" applyFont="1" applyFill="1" applyBorder="1" applyAlignment="1">
      <alignment horizontal="right"/>
    </xf>
    <xf numFmtId="0" fontId="6" fillId="17" borderId="2" xfId="0" applyFont="1" applyFill="1" applyBorder="1" applyAlignment="1">
      <alignment horizontal="right"/>
    </xf>
    <xf numFmtId="0" fontId="6" fillId="17" borderId="2" xfId="0" applyFont="1" applyFill="1" applyBorder="1"/>
    <xf numFmtId="164" fontId="6" fillId="17" borderId="2" xfId="0" applyNumberFormat="1" applyFont="1" applyFill="1" applyBorder="1"/>
    <xf numFmtId="0" fontId="6" fillId="18" borderId="2" xfId="0" applyFont="1" applyFill="1" applyBorder="1" applyAlignment="1">
      <alignment horizontal="right"/>
    </xf>
    <xf numFmtId="0" fontId="6" fillId="18" borderId="2" xfId="0" applyFont="1" applyFill="1" applyBorder="1"/>
    <xf numFmtId="164" fontId="6" fillId="18" borderId="2" xfId="0" applyNumberFormat="1" applyFont="1" applyFill="1" applyBorder="1"/>
    <xf numFmtId="0" fontId="6" fillId="19" borderId="2" xfId="0" applyFont="1" applyFill="1" applyBorder="1" applyAlignment="1">
      <alignment horizontal="right"/>
    </xf>
    <xf numFmtId="0" fontId="6" fillId="19" borderId="2" xfId="0" applyFont="1" applyFill="1" applyBorder="1"/>
    <xf numFmtId="164" fontId="6" fillId="19" borderId="2" xfId="0" applyNumberFormat="1" applyFont="1" applyFill="1" applyBorder="1"/>
    <xf numFmtId="0" fontId="6" fillId="20" borderId="2" xfId="0" applyFont="1" applyFill="1" applyBorder="1" applyAlignment="1">
      <alignment horizontal="right"/>
    </xf>
    <xf numFmtId="0" fontId="6" fillId="20" borderId="2" xfId="0" applyFont="1" applyFill="1" applyBorder="1"/>
    <xf numFmtId="164" fontId="6" fillId="20" borderId="2" xfId="0" applyNumberFormat="1" applyFont="1" applyFill="1" applyBorder="1"/>
    <xf numFmtId="0" fontId="6" fillId="21" borderId="2" xfId="0" applyFont="1" applyFill="1" applyBorder="1" applyAlignment="1">
      <alignment horizontal="right"/>
    </xf>
    <xf numFmtId="0" fontId="6" fillId="21" borderId="2" xfId="0" applyFont="1" applyFill="1" applyBorder="1"/>
    <xf numFmtId="164" fontId="6" fillId="21" borderId="2" xfId="0" applyNumberFormat="1" applyFont="1" applyFill="1" applyBorder="1"/>
    <xf numFmtId="0" fontId="6" fillId="23" borderId="2" xfId="0" applyFont="1" applyFill="1" applyBorder="1" applyAlignment="1">
      <alignment horizontal="center"/>
    </xf>
    <xf numFmtId="166" fontId="6" fillId="23" borderId="2" xfId="0" applyNumberFormat="1" applyFont="1" applyFill="1" applyBorder="1"/>
    <xf numFmtId="0" fontId="6" fillId="24" borderId="2" xfId="0" applyFont="1" applyFill="1" applyBorder="1" applyAlignment="1">
      <alignment horizontal="center"/>
    </xf>
    <xf numFmtId="166" fontId="6" fillId="24" borderId="2" xfId="0" applyNumberFormat="1" applyFont="1" applyFill="1" applyBorder="1"/>
    <xf numFmtId="0" fontId="6" fillId="25" borderId="2" xfId="0" applyFont="1" applyFill="1" applyBorder="1" applyAlignment="1">
      <alignment horizontal="center"/>
    </xf>
    <xf numFmtId="166" fontId="6" fillId="25" borderId="2" xfId="0" applyNumberFormat="1" applyFont="1" applyFill="1" applyBorder="1"/>
    <xf numFmtId="0" fontId="6" fillId="26" borderId="2" xfId="0" applyFont="1" applyFill="1" applyBorder="1" applyAlignment="1">
      <alignment horizontal="center"/>
    </xf>
    <xf numFmtId="166" fontId="6" fillId="26" borderId="2" xfId="0" applyNumberFormat="1" applyFont="1" applyFill="1" applyBorder="1"/>
    <xf numFmtId="0" fontId="0" fillId="0" borderId="0" xfId="0" applyAlignment="1">
      <alignment horizontal="center" vertical="center" wrapText="1"/>
    </xf>
    <xf numFmtId="0" fontId="2" fillId="0" borderId="0" xfId="3"/>
    <xf numFmtId="0" fontId="4" fillId="0" borderId="0" xfId="5"/>
    <xf numFmtId="0" fontId="3" fillId="2" borderId="1" xfId="4"/>
    <xf numFmtId="164" fontId="6" fillId="26" borderId="2" xfId="0" applyNumberFormat="1" applyFont="1" applyFill="1" applyBorder="1" applyAlignment="1">
      <alignment horizontal="center"/>
    </xf>
    <xf numFmtId="164" fontId="6" fillId="25" borderId="2" xfId="0" applyNumberFormat="1" applyFont="1" applyFill="1" applyBorder="1" applyAlignment="1">
      <alignment horizontal="center"/>
    </xf>
    <xf numFmtId="164" fontId="6" fillId="24" borderId="2" xfId="0" applyNumberFormat="1" applyFont="1" applyFill="1" applyBorder="1" applyAlignment="1">
      <alignment horizontal="center"/>
    </xf>
    <xf numFmtId="164" fontId="6" fillId="23" borderId="2" xfId="0" applyNumberFormat="1" applyFont="1" applyFill="1" applyBorder="1" applyAlignment="1">
      <alignment horizontal="center"/>
    </xf>
    <xf numFmtId="0" fontId="3" fillId="2" borderId="1" xfId="4" applyAlignment="1">
      <alignment horizontal="center" vertical="center"/>
    </xf>
    <xf numFmtId="166" fontId="3" fillId="2" borderId="1" xfId="4" applyNumberFormat="1"/>
    <xf numFmtId="164" fontId="3" fillId="2" borderId="1" xfId="4" applyNumberFormat="1" applyAlignment="1">
      <alignment horizontal="center" vertical="center"/>
    </xf>
    <xf numFmtId="0" fontId="0" fillId="0" borderId="0" xfId="0" applyAlignment="1">
      <alignment horizontal="left"/>
    </xf>
    <xf numFmtId="166" fontId="0" fillId="0" borderId="0" xfId="0" applyNumberFormat="1"/>
    <xf numFmtId="0" fontId="0" fillId="0" borderId="0" xfId="0" pivotButton="1" applyAlignment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 indent="1"/>
    </xf>
    <xf numFmtId="0" fontId="3" fillId="2" borderId="12" xfId="4" applyBorder="1" applyAlignment="1">
      <alignment horizontal="center" vertical="center"/>
    </xf>
    <xf numFmtId="0" fontId="3" fillId="2" borderId="13" xfId="4" applyBorder="1" applyAlignment="1">
      <alignment horizontal="center" vertical="center"/>
    </xf>
    <xf numFmtId="164" fontId="3" fillId="2" borderId="13" xfId="4" applyNumberFormat="1" applyBorder="1" applyAlignment="1">
      <alignment horizontal="center" vertical="center"/>
    </xf>
    <xf numFmtId="0" fontId="3" fillId="2" borderId="13" xfId="4" applyBorder="1"/>
    <xf numFmtId="166" fontId="3" fillId="2" borderId="13" xfId="4" applyNumberFormat="1" applyBorder="1"/>
    <xf numFmtId="166" fontId="3" fillId="2" borderId="14" xfId="4" applyNumberFormat="1" applyBorder="1"/>
    <xf numFmtId="0" fontId="3" fillId="2" borderId="15" xfId="4" applyBorder="1" applyAlignment="1">
      <alignment horizontal="center" vertical="center"/>
    </xf>
    <xf numFmtId="166" fontId="3" fillId="2" borderId="16" xfId="4" applyNumberFormat="1" applyBorder="1"/>
    <xf numFmtId="0" fontId="6" fillId="4" borderId="11" xfId="0" applyFont="1" applyFill="1" applyBorder="1" applyAlignment="1">
      <alignment horizontal="center"/>
    </xf>
    <xf numFmtId="0" fontId="6" fillId="26" borderId="7" xfId="0" applyFont="1" applyFill="1" applyBorder="1" applyAlignment="1">
      <alignment horizontal="center"/>
    </xf>
    <xf numFmtId="0" fontId="6" fillId="26" borderId="5" xfId="0" applyFont="1" applyFill="1" applyBorder="1" applyAlignment="1">
      <alignment horizontal="center"/>
    </xf>
    <xf numFmtId="0" fontId="6" fillId="25" borderId="7" xfId="0" applyFont="1" applyFill="1" applyBorder="1" applyAlignment="1">
      <alignment horizontal="center"/>
    </xf>
    <xf numFmtId="0" fontId="6" fillId="25" borderId="5" xfId="0" applyFont="1" applyFill="1" applyBorder="1" applyAlignment="1">
      <alignment horizontal="center"/>
    </xf>
    <xf numFmtId="0" fontId="6" fillId="24" borderId="7" xfId="0" applyFont="1" applyFill="1" applyBorder="1" applyAlignment="1">
      <alignment horizontal="center"/>
    </xf>
    <xf numFmtId="0" fontId="6" fillId="24" borderId="5" xfId="0" applyFont="1" applyFill="1" applyBorder="1" applyAlignment="1">
      <alignment horizontal="center"/>
    </xf>
    <xf numFmtId="0" fontId="6" fillId="23" borderId="5" xfId="0" applyFont="1" applyFill="1" applyBorder="1" applyAlignment="1">
      <alignment horizontal="center"/>
    </xf>
    <xf numFmtId="0" fontId="6" fillId="22" borderId="5" xfId="0" applyFont="1" applyFill="1" applyBorder="1" applyAlignment="1">
      <alignment horizontal="center"/>
    </xf>
    <xf numFmtId="0" fontId="6" fillId="26" borderId="6" xfId="0" applyFont="1" applyFill="1" applyBorder="1" applyAlignment="1">
      <alignment horizontal="center"/>
    </xf>
    <xf numFmtId="0" fontId="6" fillId="26" borderId="8" xfId="0" applyFont="1" applyFill="1" applyBorder="1" applyAlignment="1">
      <alignment horizontal="center"/>
    </xf>
    <xf numFmtId="0" fontId="6" fillId="25" borderId="6" xfId="0" applyFont="1" applyFill="1" applyBorder="1" applyAlignment="1">
      <alignment horizontal="center"/>
    </xf>
    <xf numFmtId="0" fontId="6" fillId="25" borderId="8" xfId="0" applyFont="1" applyFill="1" applyBorder="1" applyAlignment="1">
      <alignment horizontal="center"/>
    </xf>
    <xf numFmtId="0" fontId="6" fillId="24" borderId="6" xfId="0" applyFont="1" applyFill="1" applyBorder="1" applyAlignment="1">
      <alignment horizontal="center"/>
    </xf>
    <xf numFmtId="0" fontId="6" fillId="24" borderId="8" xfId="0" applyFont="1" applyFill="1" applyBorder="1" applyAlignment="1">
      <alignment horizontal="center"/>
    </xf>
    <xf numFmtId="0" fontId="6" fillId="23" borderId="8" xfId="0" applyFont="1" applyFill="1" applyBorder="1" applyAlignment="1">
      <alignment horizontal="center"/>
    </xf>
    <xf numFmtId="0" fontId="6" fillId="26" borderId="4" xfId="0" applyFont="1" applyFill="1" applyBorder="1" applyAlignment="1">
      <alignment horizontal="center"/>
    </xf>
    <xf numFmtId="0" fontId="6" fillId="25" borderId="4" xfId="0" applyFont="1" applyFill="1" applyBorder="1" applyAlignment="1">
      <alignment horizontal="center"/>
    </xf>
    <xf numFmtId="0" fontId="6" fillId="24" borderId="4" xfId="0" applyFont="1" applyFill="1" applyBorder="1" applyAlignment="1">
      <alignment horizontal="center"/>
    </xf>
    <xf numFmtId="164" fontId="6" fillId="26" borderId="4" xfId="0" applyNumberFormat="1" applyFont="1" applyFill="1" applyBorder="1" applyAlignment="1">
      <alignment horizontal="center"/>
    </xf>
    <xf numFmtId="164" fontId="6" fillId="25" borderId="4" xfId="0" applyNumberFormat="1" applyFont="1" applyFill="1" applyBorder="1" applyAlignment="1">
      <alignment horizontal="center"/>
    </xf>
    <xf numFmtId="164" fontId="6" fillId="24" borderId="4" xfId="0" applyNumberFormat="1" applyFont="1" applyFill="1" applyBorder="1" applyAlignment="1">
      <alignment horizontal="center"/>
    </xf>
    <xf numFmtId="164" fontId="6" fillId="22" borderId="5" xfId="0" applyNumberFormat="1" applyFont="1" applyFill="1" applyBorder="1" applyAlignment="1">
      <alignment horizontal="center"/>
    </xf>
    <xf numFmtId="0" fontId="6" fillId="26" borderId="10" xfId="0" applyFont="1" applyFill="1" applyBorder="1"/>
    <xf numFmtId="0" fontId="6" fillId="26" borderId="3" xfId="0" applyFont="1" applyFill="1" applyBorder="1"/>
    <xf numFmtId="0" fontId="6" fillId="25" borderId="10" xfId="0" applyFont="1" applyFill="1" applyBorder="1"/>
    <xf numFmtId="0" fontId="6" fillId="25" borderId="3" xfId="0" applyFont="1" applyFill="1" applyBorder="1"/>
    <xf numFmtId="0" fontId="6" fillId="24" borderId="10" xfId="0" applyFont="1" applyFill="1" applyBorder="1"/>
    <xf numFmtId="0" fontId="6" fillId="24" borderId="3" xfId="0" applyFont="1" applyFill="1" applyBorder="1"/>
    <xf numFmtId="0" fontId="6" fillId="23" borderId="3" xfId="0" applyFont="1" applyFill="1" applyBorder="1"/>
    <xf numFmtId="0" fontId="6" fillId="22" borderId="5" xfId="0" applyFont="1" applyFill="1" applyBorder="1" applyAlignment="1">
      <alignment horizontal="left"/>
    </xf>
    <xf numFmtId="166" fontId="6" fillId="26" borderId="10" xfId="0" applyNumberFormat="1" applyFont="1" applyFill="1" applyBorder="1"/>
    <xf numFmtId="166" fontId="6" fillId="26" borderId="3" xfId="0" applyNumberFormat="1" applyFont="1" applyFill="1" applyBorder="1"/>
    <xf numFmtId="166" fontId="6" fillId="25" borderId="10" xfId="0" applyNumberFormat="1" applyFont="1" applyFill="1" applyBorder="1"/>
    <xf numFmtId="166" fontId="6" fillId="25" borderId="3" xfId="0" applyNumberFormat="1" applyFont="1" applyFill="1" applyBorder="1"/>
    <xf numFmtId="166" fontId="6" fillId="24" borderId="10" xfId="0" applyNumberFormat="1" applyFont="1" applyFill="1" applyBorder="1"/>
    <xf numFmtId="166" fontId="6" fillId="24" borderId="3" xfId="0" applyNumberFormat="1" applyFont="1" applyFill="1" applyBorder="1"/>
    <xf numFmtId="166" fontId="6" fillId="23" borderId="3" xfId="0" applyNumberFormat="1" applyFont="1" applyFill="1" applyBorder="1"/>
    <xf numFmtId="164" fontId="5" fillId="6" borderId="2" xfId="0" applyNumberFormat="1" applyFont="1" applyFill="1" applyBorder="1" applyAlignment="1">
      <alignment horizontal="center"/>
    </xf>
    <xf numFmtId="165" fontId="6" fillId="22" borderId="5" xfId="0" applyNumberFormat="1" applyFont="1" applyFill="1" applyBorder="1" applyAlignment="1">
      <alignment horizontal="center"/>
    </xf>
    <xf numFmtId="166" fontId="6" fillId="26" borderId="4" xfId="0" applyNumberFormat="1" applyFont="1" applyFill="1" applyBorder="1"/>
    <xf numFmtId="166" fontId="6" fillId="25" borderId="4" xfId="0" applyNumberFormat="1" applyFont="1" applyFill="1" applyBorder="1"/>
    <xf numFmtId="166" fontId="6" fillId="24" borderId="4" xfId="0" applyNumberFormat="1" applyFont="1" applyFill="1" applyBorder="1"/>
    <xf numFmtId="166" fontId="10" fillId="26" borderId="9" xfId="1" applyNumberFormat="1" applyFont="1" applyFill="1" applyBorder="1"/>
    <xf numFmtId="166" fontId="10" fillId="25" borderId="9" xfId="1" applyNumberFormat="1" applyFont="1" applyFill="1" applyBorder="1"/>
    <xf numFmtId="166" fontId="10" fillId="24" borderId="9" xfId="1" applyNumberFormat="1" applyFont="1" applyFill="1" applyBorder="1"/>
    <xf numFmtId="166" fontId="10" fillId="23" borderId="9" xfId="1" applyNumberFormat="1" applyFont="1" applyFill="1" applyBorder="1" applyProtection="1"/>
    <xf numFmtId="166" fontId="11" fillId="2" borderId="13" xfId="4" applyNumberFormat="1" applyFont="1" applyBorder="1"/>
    <xf numFmtId="0" fontId="3" fillId="27" borderId="17" xfId="4" applyFill="1" applyBorder="1" applyAlignment="1">
      <alignment horizontal="center" vertical="center"/>
    </xf>
    <xf numFmtId="0" fontId="3" fillId="27" borderId="18" xfId="4" applyFill="1" applyBorder="1" applyAlignment="1">
      <alignment horizontal="center" vertical="center"/>
    </xf>
    <xf numFmtId="164" fontId="3" fillId="27" borderId="18" xfId="4" applyNumberFormat="1" applyFill="1" applyBorder="1" applyAlignment="1">
      <alignment horizontal="center" vertical="center"/>
    </xf>
    <xf numFmtId="0" fontId="3" fillId="27" borderId="18" xfId="4" applyFill="1" applyBorder="1"/>
    <xf numFmtId="166" fontId="3" fillId="27" borderId="18" xfId="4" applyNumberFormat="1" applyFill="1" applyBorder="1"/>
    <xf numFmtId="166" fontId="3" fillId="27" borderId="19" xfId="4" applyNumberFormat="1" applyFill="1" applyBorder="1"/>
    <xf numFmtId="0" fontId="3" fillId="27" borderId="20" xfId="4" applyFill="1" applyBorder="1" applyAlignment="1">
      <alignment horizontal="center" vertical="center"/>
    </xf>
    <xf numFmtId="0" fontId="3" fillId="27" borderId="1" xfId="4" applyFill="1" applyAlignment="1">
      <alignment horizontal="center" vertical="center"/>
    </xf>
    <xf numFmtId="164" fontId="3" fillId="27" borderId="1" xfId="4" applyNumberFormat="1" applyFill="1" applyAlignment="1">
      <alignment horizontal="center" vertical="center"/>
    </xf>
    <xf numFmtId="0" fontId="3" fillId="27" borderId="1" xfId="4" applyFill="1"/>
    <xf numFmtId="166" fontId="3" fillId="27" borderId="1" xfId="4" applyNumberFormat="1" applyFill="1"/>
    <xf numFmtId="166" fontId="3" fillId="27" borderId="21" xfId="4" applyNumberFormat="1" applyFill="1" applyBorder="1"/>
    <xf numFmtId="0" fontId="3" fillId="2" borderId="25" xfId="4" applyBorder="1" applyAlignment="1">
      <alignment horizontal="center" vertical="center"/>
    </xf>
    <xf numFmtId="0" fontId="3" fillId="2" borderId="26" xfId="4" applyBorder="1" applyAlignment="1">
      <alignment horizontal="center" vertical="center"/>
    </xf>
    <xf numFmtId="164" fontId="3" fillId="2" borderId="26" xfId="4" applyNumberFormat="1" applyBorder="1" applyAlignment="1">
      <alignment horizontal="center" vertical="center"/>
    </xf>
    <xf numFmtId="0" fontId="3" fillId="2" borderId="26" xfId="4" applyBorder="1"/>
    <xf numFmtId="166" fontId="3" fillId="2" borderId="26" xfId="4" applyNumberFormat="1" applyBorder="1"/>
    <xf numFmtId="166" fontId="3" fillId="2" borderId="27" xfId="4" applyNumberFormat="1" applyBorder="1"/>
    <xf numFmtId="9" fontId="12" fillId="0" borderId="0" xfId="2" applyFont="1"/>
    <xf numFmtId="0" fontId="3" fillId="28" borderId="20" xfId="4" applyFill="1" applyBorder="1" applyAlignment="1">
      <alignment horizontal="center" vertical="center"/>
    </xf>
    <xf numFmtId="166" fontId="3" fillId="28" borderId="21" xfId="4" applyNumberFormat="1" applyFill="1" applyBorder="1"/>
    <xf numFmtId="0" fontId="3" fillId="28" borderId="17" xfId="4" applyFill="1" applyBorder="1" applyAlignment="1">
      <alignment horizontal="center" vertical="center"/>
    </xf>
    <xf numFmtId="0" fontId="3" fillId="28" borderId="18" xfId="4" applyFill="1" applyBorder="1" applyAlignment="1">
      <alignment horizontal="center" vertical="center"/>
    </xf>
    <xf numFmtId="164" fontId="3" fillId="28" borderId="18" xfId="4" applyNumberFormat="1" applyFill="1" applyBorder="1" applyAlignment="1">
      <alignment horizontal="center" vertical="center"/>
    </xf>
    <xf numFmtId="0" fontId="3" fillId="28" borderId="18" xfId="4" applyFill="1" applyBorder="1"/>
    <xf numFmtId="166" fontId="3" fillId="28" borderId="18" xfId="4" applyNumberFormat="1" applyFill="1" applyBorder="1"/>
    <xf numFmtId="166" fontId="3" fillId="28" borderId="19" xfId="4" applyNumberFormat="1" applyFill="1" applyBorder="1"/>
    <xf numFmtId="0" fontId="3" fillId="28" borderId="1" xfId="4" applyFill="1" applyAlignment="1">
      <alignment horizontal="center" vertical="center"/>
    </xf>
    <xf numFmtId="164" fontId="3" fillId="28" borderId="1" xfId="4" applyNumberFormat="1" applyFill="1" applyAlignment="1">
      <alignment horizontal="center" vertical="center"/>
    </xf>
    <xf numFmtId="0" fontId="3" fillId="28" borderId="1" xfId="4" applyFill="1"/>
    <xf numFmtId="166" fontId="3" fillId="28" borderId="1" xfId="4" applyNumberFormat="1" applyFill="1"/>
    <xf numFmtId="0" fontId="3" fillId="28" borderId="22" xfId="4" applyFill="1" applyBorder="1" applyAlignment="1">
      <alignment horizontal="center" vertical="center"/>
    </xf>
    <xf numFmtId="0" fontId="3" fillId="28" borderId="23" xfId="4" applyFill="1" applyBorder="1" applyAlignment="1">
      <alignment horizontal="center" vertical="center"/>
    </xf>
    <xf numFmtId="164" fontId="3" fillId="28" borderId="23" xfId="4" applyNumberFormat="1" applyFill="1" applyBorder="1" applyAlignment="1">
      <alignment horizontal="center" vertical="center"/>
    </xf>
    <xf numFmtId="0" fontId="3" fillId="28" borderId="23" xfId="4" applyFill="1" applyBorder="1"/>
    <xf numFmtId="166" fontId="3" fillId="28" borderId="23" xfId="4" applyNumberFormat="1" applyFill="1" applyBorder="1"/>
    <xf numFmtId="166" fontId="3" fillId="28" borderId="24" xfId="4" applyNumberFormat="1" applyFill="1" applyBorder="1"/>
    <xf numFmtId="0" fontId="3" fillId="27" borderId="28" xfId="4" applyFill="1" applyBorder="1" applyAlignment="1">
      <alignment horizontal="center" vertical="center"/>
    </xf>
    <xf numFmtId="0" fontId="3" fillId="27" borderId="26" xfId="4" applyFill="1" applyBorder="1" applyAlignment="1">
      <alignment horizontal="center" vertical="center"/>
    </xf>
    <xf numFmtId="164" fontId="3" fillId="27" borderId="26" xfId="4" applyNumberFormat="1" applyFill="1" applyBorder="1" applyAlignment="1">
      <alignment horizontal="center" vertical="center"/>
    </xf>
    <xf numFmtId="0" fontId="3" fillId="27" borderId="26" xfId="4" applyFill="1" applyBorder="1"/>
    <xf numFmtId="166" fontId="3" fillId="27" borderId="26" xfId="4" applyNumberFormat="1" applyFill="1" applyBorder="1"/>
    <xf numFmtId="166" fontId="3" fillId="27" borderId="29" xfId="4" applyNumberFormat="1" applyFill="1" applyBorder="1"/>
    <xf numFmtId="0" fontId="6" fillId="3" borderId="30" xfId="0" applyFont="1" applyFill="1" applyBorder="1" applyAlignment="1">
      <alignment horizontal="center" vertical="center"/>
    </xf>
    <xf numFmtId="0" fontId="6" fillId="3" borderId="30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 wrapText="1"/>
    </xf>
    <xf numFmtId="164" fontId="0" fillId="0" borderId="0" xfId="0" applyNumberFormat="1"/>
    <xf numFmtId="9" fontId="6" fillId="0" borderId="0" xfId="2" applyFont="1" applyAlignment="1">
      <alignment horizontal="left" indent="2"/>
    </xf>
    <xf numFmtId="9" fontId="6" fillId="3" borderId="30" xfId="2" applyFont="1" applyFill="1" applyBorder="1" applyAlignment="1">
      <alignment horizontal="left" vertical="center" wrapText="1" indent="2"/>
    </xf>
    <xf numFmtId="9" fontId="6" fillId="4" borderId="11" xfId="2" applyFont="1" applyFill="1" applyBorder="1" applyAlignment="1">
      <alignment horizontal="left" indent="2"/>
    </xf>
    <xf numFmtId="9" fontId="6" fillId="4" borderId="2" xfId="2" applyFont="1" applyFill="1" applyBorder="1" applyAlignment="1">
      <alignment horizontal="left" indent="2"/>
    </xf>
    <xf numFmtId="9" fontId="6" fillId="5" borderId="2" xfId="2" applyFont="1" applyFill="1" applyBorder="1" applyAlignment="1">
      <alignment horizontal="left" indent="2"/>
    </xf>
    <xf numFmtId="9" fontId="6" fillId="6" borderId="2" xfId="2" applyFont="1" applyFill="1" applyBorder="1" applyAlignment="1">
      <alignment horizontal="left" indent="2"/>
    </xf>
    <xf numFmtId="9" fontId="6" fillId="7" borderId="2" xfId="2" applyFont="1" applyFill="1" applyBorder="1" applyAlignment="1">
      <alignment horizontal="left" indent="2"/>
    </xf>
    <xf numFmtId="9" fontId="6" fillId="8" borderId="2" xfId="2" applyFont="1" applyFill="1" applyBorder="1" applyAlignment="1">
      <alignment horizontal="left" indent="2"/>
    </xf>
    <xf numFmtId="9" fontId="6" fillId="9" borderId="2" xfId="2" applyFont="1" applyFill="1" applyBorder="1" applyAlignment="1">
      <alignment horizontal="left" indent="2"/>
    </xf>
    <xf numFmtId="9" fontId="6" fillId="10" borderId="2" xfId="2" applyFont="1" applyFill="1" applyBorder="1" applyAlignment="1">
      <alignment horizontal="left" indent="2"/>
    </xf>
    <xf numFmtId="9" fontId="6" fillId="11" borderId="2" xfId="2" applyFont="1" applyFill="1" applyBorder="1" applyAlignment="1">
      <alignment horizontal="left" indent="2"/>
    </xf>
    <xf numFmtId="9" fontId="6" fillId="12" borderId="2" xfId="2" applyFont="1" applyFill="1" applyBorder="1" applyAlignment="1">
      <alignment horizontal="left" indent="2"/>
    </xf>
    <xf numFmtId="9" fontId="6" fillId="13" borderId="2" xfId="2" applyFont="1" applyFill="1" applyBorder="1" applyAlignment="1">
      <alignment horizontal="left" indent="2"/>
    </xf>
    <xf numFmtId="9" fontId="6" fillId="14" borderId="2" xfId="2" applyFont="1" applyFill="1" applyBorder="1" applyAlignment="1">
      <alignment horizontal="left" indent="2"/>
    </xf>
    <xf numFmtId="9" fontId="6" fillId="15" borderId="2" xfId="2" applyFont="1" applyFill="1" applyBorder="1" applyAlignment="1">
      <alignment horizontal="left" indent="2"/>
    </xf>
    <xf numFmtId="9" fontId="6" fillId="16" borderId="2" xfId="2" applyFont="1" applyFill="1" applyBorder="1" applyAlignment="1">
      <alignment horizontal="left" indent="2"/>
    </xf>
    <xf numFmtId="9" fontId="6" fillId="17" borderId="2" xfId="2" applyFont="1" applyFill="1" applyBorder="1" applyAlignment="1">
      <alignment horizontal="left" indent="2"/>
    </xf>
    <xf numFmtId="9" fontId="6" fillId="18" borderId="2" xfId="2" applyFont="1" applyFill="1" applyBorder="1" applyAlignment="1">
      <alignment horizontal="left" indent="2"/>
    </xf>
    <xf numFmtId="9" fontId="6" fillId="19" borderId="2" xfId="2" applyFont="1" applyFill="1" applyBorder="1" applyAlignment="1">
      <alignment horizontal="left" indent="2"/>
    </xf>
    <xf numFmtId="9" fontId="6" fillId="20" borderId="2" xfId="2" applyFont="1" applyFill="1" applyBorder="1" applyAlignment="1">
      <alignment horizontal="left" indent="2"/>
    </xf>
    <xf numFmtId="9" fontId="6" fillId="21" borderId="2" xfId="2" applyFont="1" applyFill="1" applyBorder="1" applyAlignment="1">
      <alignment horizontal="left" indent="2"/>
    </xf>
    <xf numFmtId="9" fontId="6" fillId="22" borderId="5" xfId="2" applyFont="1" applyFill="1" applyBorder="1" applyAlignment="1">
      <alignment horizontal="left" indent="2"/>
    </xf>
    <xf numFmtId="9" fontId="10" fillId="23" borderId="0" xfId="2" applyFont="1" applyFill="1" applyBorder="1" applyAlignment="1" applyProtection="1">
      <alignment horizontal="left" indent="2"/>
    </xf>
    <xf numFmtId="9" fontId="6" fillId="23" borderId="2" xfId="2" applyFont="1" applyFill="1" applyBorder="1" applyAlignment="1">
      <alignment horizontal="left" indent="2"/>
    </xf>
    <xf numFmtId="9" fontId="10" fillId="24" borderId="0" xfId="2" applyFont="1" applyFill="1" applyBorder="1" applyAlignment="1">
      <alignment horizontal="left" indent="2"/>
    </xf>
    <xf numFmtId="9" fontId="6" fillId="24" borderId="2" xfId="2" applyFont="1" applyFill="1" applyBorder="1" applyAlignment="1">
      <alignment horizontal="left" indent="2"/>
    </xf>
    <xf numFmtId="9" fontId="6" fillId="24" borderId="4" xfId="2" applyFont="1" applyFill="1" applyBorder="1" applyAlignment="1">
      <alignment horizontal="left" indent="2"/>
    </xf>
    <xf numFmtId="9" fontId="10" fillId="25" borderId="0" xfId="2" applyFont="1" applyFill="1" applyBorder="1" applyAlignment="1">
      <alignment horizontal="left" indent="2"/>
    </xf>
    <xf numFmtId="9" fontId="10" fillId="26" borderId="0" xfId="2" applyFont="1" applyFill="1" applyBorder="1" applyAlignment="1">
      <alignment horizontal="left" indent="2"/>
    </xf>
    <xf numFmtId="9" fontId="11" fillId="2" borderId="13" xfId="2" applyFont="1" applyFill="1" applyBorder="1" applyAlignment="1">
      <alignment horizontal="left" indent="2"/>
    </xf>
    <xf numFmtId="9" fontId="3" fillId="2" borderId="1" xfId="2" applyFont="1" applyFill="1" applyBorder="1" applyAlignment="1">
      <alignment horizontal="left" indent="2"/>
    </xf>
    <xf numFmtId="9" fontId="3" fillId="2" borderId="26" xfId="2" applyFont="1" applyFill="1" applyBorder="1" applyAlignment="1">
      <alignment horizontal="left" indent="2"/>
    </xf>
    <xf numFmtId="9" fontId="3" fillId="27" borderId="18" xfId="2" applyFont="1" applyFill="1" applyBorder="1" applyAlignment="1">
      <alignment horizontal="left" indent="2"/>
    </xf>
    <xf numFmtId="9" fontId="3" fillId="27" borderId="1" xfId="2" applyFont="1" applyFill="1" applyBorder="1" applyAlignment="1">
      <alignment horizontal="left" indent="2"/>
    </xf>
    <xf numFmtId="9" fontId="3" fillId="27" borderId="26" xfId="2" applyFont="1" applyFill="1" applyBorder="1" applyAlignment="1">
      <alignment horizontal="left" indent="2"/>
    </xf>
    <xf numFmtId="9" fontId="3" fillId="28" borderId="18" xfId="2" applyFont="1" applyFill="1" applyBorder="1" applyAlignment="1">
      <alignment horizontal="left" indent="2"/>
    </xf>
    <xf numFmtId="9" fontId="3" fillId="28" borderId="1" xfId="2" applyFont="1" applyFill="1" applyBorder="1" applyAlignment="1">
      <alignment horizontal="left" indent="2"/>
    </xf>
    <xf numFmtId="9" fontId="3" fillId="28" borderId="23" xfId="2" applyFont="1" applyFill="1" applyBorder="1" applyAlignment="1">
      <alignment horizontal="left" indent="2"/>
    </xf>
    <xf numFmtId="9" fontId="0" fillId="0" borderId="0" xfId="2" applyFont="1" applyAlignment="1">
      <alignment horizontal="left" indent="2"/>
    </xf>
    <xf numFmtId="0" fontId="5" fillId="0" borderId="0" xfId="0" applyFont="1"/>
    <xf numFmtId="0" fontId="0" fillId="0" borderId="0" xfId="0"/>
    <xf numFmtId="0" fontId="7" fillId="0" borderId="0" xfId="0" applyFont="1"/>
  </cellXfs>
  <cellStyles count="6">
    <cellStyle name="Currency" xfId="1" builtinId="4"/>
    <cellStyle name="Explanatory Text" xfId="5" builtinId="53"/>
    <cellStyle name="Input" xfId="4" builtinId="20"/>
    <cellStyle name="Normal" xfId="0" builtinId="0"/>
    <cellStyle name="Percent" xfId="2" builtinId="5"/>
    <cellStyle name="Title" xfId="3" builtinId="15"/>
  </cellStyles>
  <dxfs count="65">
    <dxf>
      <numFmt numFmtId="166" formatCode="_(&quot;$&quot;* #,##0_);_(&quot;$&quot;* \(#,##0\);_(&quot;$&quot;* &quot;-&quot;??_);_(@_)"/>
    </dxf>
    <dxf>
      <numFmt numFmtId="166" formatCode="_(&quot;$&quot;* #,##0_);_(&quot;$&quot;* \(#,##0\);_(&quot;$&quot;* &quot;-&quot;??_);_(@_)"/>
    </dxf>
    <dxf>
      <numFmt numFmtId="166" formatCode="_(&quot;$&quot;* #,##0_);_(&quot;$&quot;* \(#,##0\);_(&quot;$&quot;* &quot;-&quot;??_);_(@_)"/>
    </dxf>
    <dxf>
      <alignment wrapText="1"/>
    </dxf>
    <dxf>
      <alignment wrapText="1"/>
    </dxf>
    <dxf>
      <alignment vertical="center"/>
    </dxf>
    <dxf>
      <alignment vertical="center"/>
    </dxf>
    <dxf>
      <alignment horizontal="center"/>
    </dxf>
    <dxf>
      <alignment horizontal="center"/>
    </dxf>
    <dxf>
      <font>
        <color rgb="FF9C0006"/>
      </font>
      <fill>
        <patternFill>
          <bgColor rgb="FFFFC7CE"/>
        </patternFill>
      </fill>
    </dxf>
    <dxf>
      <alignment horizontal="center"/>
    </dxf>
    <dxf>
      <alignment horizontal="center"/>
    </dxf>
    <dxf>
      <alignment vertical="center"/>
    </dxf>
    <dxf>
      <alignment vertical="center"/>
    </dxf>
    <dxf>
      <alignment wrapText="1"/>
    </dxf>
    <dxf>
      <alignment wrapText="1"/>
    </dxf>
    <dxf>
      <numFmt numFmtId="166" formatCode="_(&quot;$&quot;* #,##0_);_(&quot;$&quot;* \(#,##0\);_(&quot;$&quot;* &quot;-&quot;??_);_(@_)"/>
    </dxf>
    <dxf>
      <numFmt numFmtId="166" formatCode="_(&quot;$&quot;* #,##0_);_(&quot;$&quot;* \(#,##0\);_(&quot;$&quot;* &quot;-&quot;??_);_(@_)"/>
    </dxf>
    <dxf>
      <numFmt numFmtId="166" formatCode="_(&quot;$&quot;* #,##0_);_(&quot;$&quot;* \(#,##0\);_(&quot;$&quot;* &quot;-&quot;??_);_(@_)"/>
    </dxf>
    <dxf>
      <alignment horizontal="center"/>
    </dxf>
    <dxf>
      <alignment horizontal="center"/>
    </dxf>
    <dxf>
      <alignment vertical="center"/>
    </dxf>
    <dxf>
      <alignment vertical="center"/>
    </dxf>
    <dxf>
      <alignment wrapText="1"/>
    </dxf>
    <dxf>
      <alignment wrapText="1"/>
    </dxf>
    <dxf>
      <numFmt numFmtId="166" formatCode="_(&quot;$&quot;* #,##0_);_(&quot;$&quot;* \(#,##0\);_(&quot;$&quot;* &quot;-&quot;??_);_(@_)"/>
    </dxf>
    <dxf>
      <numFmt numFmtId="166" formatCode="_(&quot;$&quot;* #,##0_);_(&quot;$&quot;* \(#,##0\);_(&quot;$&quot;* &quot;-&quot;??_);_(@_)"/>
    </dxf>
    <dxf>
      <numFmt numFmtId="166" formatCode="_(&quot;$&quot;* #,##0_);_(&quot;$&quot;* \(#,##0\);_(&quot;$&quot;* &quot;-&quot;??_);_(@_)"/>
    </dxf>
    <dxf>
      <alignment horizontal="center"/>
    </dxf>
    <dxf>
      <alignment horizontal="center"/>
    </dxf>
    <dxf>
      <alignment vertical="center"/>
    </dxf>
    <dxf>
      <alignment vertical="center"/>
    </dxf>
    <dxf>
      <alignment wrapText="1"/>
    </dxf>
    <dxf>
      <alignment wrapText="1"/>
    </dxf>
    <dxf>
      <numFmt numFmtId="166" formatCode="_(&quot;$&quot;* #,##0_);_(&quot;$&quot;* \(#,##0\);_(&quot;$&quot;* &quot;-&quot;??_);_(@_)"/>
    </dxf>
    <dxf>
      <numFmt numFmtId="166" formatCode="_(&quot;$&quot;* #,##0_);_(&quot;$&quot;* \(#,##0\);_(&quot;$&quot;* &quot;-&quot;??_);_(@_)"/>
    </dxf>
    <dxf>
      <numFmt numFmtId="166" formatCode="_(&quot;$&quot;* #,##0_);_(&quot;$&quot;* \(#,##0\);_(&quot;$&quot;* &quot;-&quot;??_);_(@_)"/>
    </dxf>
    <dxf>
      <alignment horizontal="center"/>
    </dxf>
    <dxf>
      <alignment horizontal="center"/>
    </dxf>
    <dxf>
      <alignment vertical="center"/>
    </dxf>
    <dxf>
      <alignment vertical="center"/>
    </dxf>
    <dxf>
      <alignment wrapText="1"/>
    </dxf>
    <dxf>
      <alignment wrapText="1"/>
    </dxf>
    <dxf>
      <numFmt numFmtId="166" formatCode="_(&quot;$&quot;* #,##0_);_(&quot;$&quot;* \(#,##0\);_(&quot;$&quot;* &quot;-&quot;??_);_(@_)"/>
    </dxf>
    <dxf>
      <numFmt numFmtId="166" formatCode="_(&quot;$&quot;* #,##0_);_(&quot;$&quot;* \(#,##0\);_(&quot;$&quot;* &quot;-&quot;??_);_(@_)"/>
    </dxf>
    <dxf>
      <numFmt numFmtId="166" formatCode="_(&quot;$&quot;* #,##0_);_(&quot;$&quot;* \(#,##0\);_(&quot;$&quot;* &quot;-&quot;??_);_(@_)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</dxf>
    <dxf>
      <numFmt numFmtId="166" formatCode="_(&quot;$&quot;* #,##0_);_(&quot;$&quot;* \(#,##0\);_(&quot;$&quot;* &quot;-&quot;??_);_(@_)"/>
      <fill>
        <patternFill patternType="solid">
          <fgColor indexed="64"/>
          <bgColor rgb="FFD0B4E0"/>
        </patternFill>
      </fill>
      <border diagonalUp="0" diagonalDown="0">
        <left style="thin">
          <color rgb="FF7F7F7F"/>
        </left>
        <right style="medium">
          <color rgb="FF000000"/>
        </right>
        <top style="thin">
          <color rgb="FF7F7F7F"/>
        </top>
        <bottom style="thin">
          <color rgb="FF7F7F7F"/>
        </bottom>
        <vertical/>
        <horizontal/>
      </border>
    </dxf>
    <dxf>
      <numFmt numFmtId="166" formatCode="_(&quot;$&quot;* #,##0_);_(&quot;$&quot;* \(#,##0\);_(&quot;$&quot;* &quot;-&quot;??_);_(@_)"/>
      <fill>
        <patternFill patternType="solid">
          <fgColor indexed="64"/>
          <bgColor rgb="FFD0B4E0"/>
        </patternFill>
      </fill>
    </dxf>
    <dxf>
      <numFmt numFmtId="166" formatCode="_(&quot;$&quot;* #,##0_);_(&quot;$&quot;* \(#,##0\);_(&quot;$&quot;* &quot;-&quot;??_);_(@_)"/>
      <fill>
        <patternFill patternType="solid">
          <fgColor indexed="64"/>
          <bgColor rgb="FFD0B4E0"/>
        </patternFill>
      </fill>
    </dxf>
    <dxf>
      <numFmt numFmtId="166" formatCode="_(&quot;$&quot;* #,##0_);_(&quot;$&quot;* \(#,##0\);_(&quot;$&quot;* &quot;-&quot;??_);_(@_)"/>
      <fill>
        <patternFill patternType="solid">
          <fgColor indexed="64"/>
          <bgColor rgb="FFD0B4E0"/>
        </patternFill>
      </fill>
    </dxf>
    <dxf>
      <fill>
        <patternFill patternType="solid">
          <fgColor indexed="64"/>
          <bgColor rgb="FFD0B4E0"/>
        </patternFill>
      </fill>
      <alignment horizontal="left" textRotation="0" relativeIndent="1" justifyLastLine="0" shrinkToFit="0" readingOrder="0"/>
    </dxf>
    <dxf>
      <numFmt numFmtId="166" formatCode="_(&quot;$&quot;* #,##0_);_(&quot;$&quot;* \(#,##0\);_(&quot;$&quot;* &quot;-&quot;??_);_(@_)"/>
      <fill>
        <patternFill patternType="solid">
          <fgColor indexed="64"/>
          <bgColor rgb="FFD0B4E0"/>
        </patternFill>
      </fill>
    </dxf>
    <dxf>
      <numFmt numFmtId="166" formatCode="_(&quot;$&quot;* #,##0_);_(&quot;$&quot;* \(#,##0\);_(&quot;$&quot;* &quot;-&quot;??_);_(@_)"/>
      <fill>
        <patternFill patternType="solid">
          <fgColor indexed="64"/>
          <bgColor rgb="FFD0B4E0"/>
        </patternFill>
      </fill>
    </dxf>
    <dxf>
      <numFmt numFmtId="166" formatCode="_(&quot;$&quot;* #,##0_);_(&quot;$&quot;* \(#,##0\);_(&quot;$&quot;* &quot;-&quot;??_);_(@_)"/>
      <fill>
        <patternFill patternType="solid">
          <fgColor indexed="64"/>
          <bgColor rgb="FFD0B4E0"/>
        </patternFill>
      </fill>
    </dxf>
    <dxf>
      <fill>
        <patternFill patternType="solid">
          <fgColor indexed="64"/>
          <bgColor rgb="FFD0B4E0"/>
        </patternFill>
      </fill>
    </dxf>
    <dxf>
      <numFmt numFmtId="164" formatCode="&quot;$&quot;#,##0"/>
      <fill>
        <patternFill patternType="solid">
          <fgColor indexed="64"/>
          <bgColor rgb="FFD0B4E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D0B4E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D0B4E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D0B4E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D0B4E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D0B4E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7F7F7F"/>
        </right>
        <top style="thin">
          <color rgb="FF7F7F7F"/>
        </top>
        <bottom style="thin">
          <color rgb="FF7F7F7F"/>
        </bottom>
        <vertical/>
        <horizontal/>
      </border>
    </dxf>
    <dxf>
      <border outline="0">
        <top style="thin">
          <color rgb="FF000000"/>
        </top>
      </border>
    </dxf>
    <dxf>
      <fill>
        <patternFill patternType="solid">
          <fgColor indexed="64"/>
          <bgColor rgb="FFD0B4E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C8C8C8"/>
          <bgColor rgb="FFC8C8C8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</dxfs>
  <tableStyles count="0" defaultTableStyle="TableStyleMedium2" defaultPivotStyle="PivotStyleLight16"/>
  <colors>
    <mruColors>
      <color rgb="FFD0B4E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pivotCacheDefinition" Target="pivotCache/pivotCacheDefinition1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music\OneDrive\Documents\Historical%20Financial%20Results\Used%20Ideas%20-%20IBC%20Past%20Results.xlsx" TargetMode="External"/><Relationship Id="rId1" Type="http://schemas.openxmlformats.org/officeDocument/2006/relationships/externalLinkPath" Target="https://webmailbyui.sharepoint.com/sites/IntegratedBusinessCore/Shared%20Documents/IBC/Faculty/Historical/Historical%20Financial%20Results/Used%20Ideas%20-%20IBC%20Past%20Result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Used Ideas - Past Year"/>
    </sheetNames>
    <sheetDataSet>
      <sheetData sheetId="0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aleb Young" refreshedDate="45013.787933101848" createdVersion="8" refreshedVersion="8" minRefreshableVersion="3" recordCount="179" xr:uid="{2AA6885C-3FA0-439C-8747-0C4644732B47}">
  <cacheSource type="worksheet">
    <worksheetSource name="historical_data"/>
  </cacheSource>
  <cacheFields count="15">
    <cacheField name="Year" numFmtId="0">
      <sharedItems containsSemiMixedTypes="0" containsString="0" containsNumber="1" containsInteger="1" minValue="2015" maxValue="2022" count="8">
        <n v="2022"/>
        <n v="2021"/>
        <n v="2020"/>
        <n v="2019"/>
        <n v="2018"/>
        <n v="2017"/>
        <n v="2016"/>
        <n v="2015"/>
      </sharedItems>
    </cacheField>
    <cacheField name="Smstr" numFmtId="0">
      <sharedItems count="3">
        <s v="Fall"/>
        <s v="Spring"/>
        <s v="Winter"/>
      </sharedItems>
    </cacheField>
    <cacheField name="#" numFmtId="0">
      <sharedItems/>
    </cacheField>
    <cacheField name="Company Name" numFmtId="0">
      <sharedItems containsBlank="1"/>
    </cacheField>
    <cacheField name="Primary Location" numFmtId="0">
      <sharedItems containsBlank="1"/>
    </cacheField>
    <cacheField name="Rent/Domain Amount _x000a_for Primary Location" numFmtId="0">
      <sharedItems containsBlank="1" containsMixedTypes="1" containsNumber="1" containsInteger="1" minValue="7" maxValue="150"/>
    </cacheField>
    <cacheField name="Description" numFmtId="0">
      <sharedItems containsBlank="1" count="146">
        <s v="Homemade body and lip scrubs"/>
        <s v="Soft Pretzels"/>
        <s v="Loaded Fries"/>
        <s v="Spoon Rings/necklaces/jewelery"/>
        <s v="Pre-made cookie mixes"/>
        <s v="Covered pretzels(hard) sticks"/>
        <s v="Danish pancakes"/>
        <s v="Date cards/packs"/>
        <s v="Shaved Ice "/>
        <s v="Hot Dogs "/>
        <s v="Cotton Candy &amp; Carnival Games"/>
        <s v="Churros"/>
        <s v="Freeze dried candy and fruit"/>
        <s v="Tie-dye Shirts and Hats "/>
        <s v="Waffles"/>
        <s v="Rexburg themed card games"/>
        <s v="Trail mix &amp; power bites"/>
        <s v="Tie dye socks"/>
        <s v="Tea and protein bytes"/>
        <s v="Water bottle coozie"/>
        <s v="Chapstick"/>
        <s v="Stroopwafels"/>
        <s v="Mac n Cheese"/>
        <s v="Popcorn &amp; Pretzels"/>
        <s v="Customizable Hoodies"/>
        <s v="National Parks T-shirts"/>
        <s v="Handwarmers"/>
        <s v="Adventure Book"/>
        <s v="Tshirts with Rexburg sayings"/>
        <s v="Candles"/>
        <s v="Hoodies of various places"/>
        <s v="Selling donated clothes"/>
        <s v="Sand Dyed Tees"/>
        <s v="Car Wash"/>
        <s v="Bath Bombs"/>
        <s v="Scrunchies"/>
        <s v="Bleached Tees"/>
        <s v="Summer Rental "/>
        <s v="Stickers"/>
        <s v="Mexican Woven Fabrics"/>
        <s v="Scavenger Hunts"/>
        <s v="Date Night Kits"/>
        <s v="Candels"/>
        <s v="Embroidered Beanies"/>
        <s v="Resin Jewlery"/>
        <s v="Website for housing options "/>
        <s v="Patch Beanies"/>
        <s v="Metal Jewlery"/>
        <s v="Gator Masks"/>
        <s v="StLibrary Ampitheatreed Jewelry"/>
        <s v="Tie-dye Apparel"/>
        <s v="Clay jewelry"/>
        <s v="Adventure Packs (Cards with Locations)"/>
        <s v="Wrist Bands w/ Functions"/>
        <s v="Custom Gift Boxes"/>
        <s v="Card Games"/>
        <s v="Apparel"/>
        <s v="Street tacos"/>
        <s v="Spoon/coin rings"/>
        <s v="Confections"/>
        <s v="Wood jewelry"/>
        <s v="Hot chocolate &amp; other"/>
        <s v="Recipe jars"/>
        <s v="Outdoor apparel"/>
        <s v="Breakfast burritos"/>
        <s v="Mixed drinks"/>
        <s v="Gourmet Toast"/>
        <s v="Waffles Bites"/>
        <s v="Custom Jewelry"/>
        <s v="Candles; Plants; Misc"/>
        <s v="Beaded Jewelry"/>
        <s v="Paninies"/>
        <s v="Essential Oils Products"/>
        <s v="Hot Dogs"/>
        <s v="Women's Scrunchies"/>
        <s v="Hammocks and Solar Chargers"/>
        <s v="Boneless Chicken wings and Shakes"/>
        <s v="Hot Dogs and shakes"/>
        <s v="italian sodas"/>
        <s v="philly cheese steaks"/>
        <s v="Handmade Ties"/>
        <s v="Custom Apparel"/>
        <s v="Street Taco's"/>
        <s v="Candy"/>
        <s v="Casadillas"/>
        <s v="Street Taco's / Tostadas"/>
        <s v="Grab and Go Sandwiches"/>
        <s v="Mexican Salads"/>
        <s v="Slider Sandwiches"/>
        <s v="Sandwiches"/>
        <s v="Hot Chocolate, Baked Goods"/>
        <s v="Custom Games"/>
        <s v="Jewelry"/>
        <s v="Wood rings"/>
        <s v="Food packaging and delivery"/>
        <s v="Rice bowls"/>
        <s v="Wraps"/>
        <s v="Shaved ice/hot dogs"/>
        <s v="Hammocks, hats"/>
        <s v="Skin Care Products"/>
        <s v="Billboard Duffle Bags"/>
        <s v="Date Boxes"/>
        <s v="Customized Hats"/>
        <s v="Soups"/>
        <s v="Fried Chicken"/>
        <s v="Chicken Sandwiches"/>
        <s v="Winter Clothes&amp;accessories"/>
        <s v="Waffels"/>
        <s v="Panini sandwiches and soup"/>
        <s v="Kolaches"/>
        <s v="Home Decor (w/sound wave art)"/>
        <s v="Blankets"/>
        <s v="Mormon card games"/>
        <s v="Vinyl Stickers"/>
        <s v="Shaved Ice"/>
        <s v="Tacos"/>
        <s v="Cookie Dough"/>
        <s v="Rice Bowl"/>
        <s v="Hammock"/>
        <s v="Etched Wood products"/>
        <s v="Lotions"/>
        <s v="BBQ pulled pork"/>
        <s v="Acai Bowls (blended fruit bowls)"/>
        <s v="Chicken Wings"/>
        <s v="Socks"/>
        <s v="Grilled Cheese"/>
        <s v="Branded Apparel"/>
        <s v="Paninins"/>
        <s v="Scented Items"/>
        <s v="Mexican Tortas"/>
        <s v="Muffins"/>
        <s v="Hand Warmers"/>
        <s v="Cold Treats"/>
        <s v="Homemade Pretzels"/>
        <s v="Boucy balls"/>
        <s v="Prepackaged food"/>
        <s v="Burritos"/>
        <s v="Photo Booth"/>
        <s v="BBQ"/>
        <s v="Ties"/>
        <s v="Tamales"/>
        <s v="Stuffed Fries"/>
        <m/>
        <s v="Food"/>
        <s v="Burgers"/>
        <s v="Hot Chocolate"/>
      </sharedItems>
    </cacheField>
    <cacheField name="Revenue" numFmtId="0">
      <sharedItems containsString="0" containsBlank="1" containsNumber="1" minValue="291" maxValue="38186"/>
    </cacheField>
    <cacheField name="COGS" numFmtId="0">
      <sharedItems containsString="0" containsBlank="1" containsNumber="1" containsInteger="1" minValue="0" maxValue="15711"/>
    </cacheField>
    <cacheField name="Gross Profit" numFmtId="0">
      <sharedItems containsString="0" containsBlank="1" containsNumber="1" containsInteger="1" minValue="-157" maxValue="22474"/>
    </cacheField>
    <cacheField name="Operating Expenses" numFmtId="0">
      <sharedItems containsString="0" containsBlank="1" containsNumber="1" containsInteger="1" minValue="210" maxValue="13443"/>
    </cacheField>
    <cacheField name="Operating Income" numFmtId="0">
      <sharedItems containsString="0" containsBlank="1" containsNumber="1" containsInteger="1" minValue="-7502" maxValue="13186"/>
    </cacheField>
    <cacheField name="Net Income" numFmtId="0">
      <sharedItems containsString="0" containsBlank="1" containsNumber="1" containsInteger="1" minValue="-7502" maxValue="9213"/>
    </cacheField>
    <cacheField name="Ending Cash Balance" numFmtId="0">
      <sharedItems containsString="0" containsBlank="1" containsNumber="1" containsInteger="1" minValue="-1935" maxValue="10578"/>
    </cacheField>
    <cacheField name="Net Income Margin" numFmtId="9">
      <sharedItems containsSemiMixedTypes="0" containsString="0" containsNumber="1" minValue="-3.1237113402061856" maxValue="0.907563025210084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aleb Young" refreshedDate="45013.828285648146" createdVersion="8" refreshedVersion="8" minRefreshableVersion="3" recordCount="179" xr:uid="{49BCA704-1A9E-4D99-8771-E73841B6335A}">
  <cacheSource type="worksheet">
    <worksheetSource ref="B5:P6" sheet="IBC Historical Data"/>
  </cacheSource>
  <cacheFields count="15">
    <cacheField name="Year" numFmtId="0">
      <sharedItems containsSemiMixedTypes="0" containsString="0" containsNumber="1" containsInteger="1" minValue="2015" maxValue="2022"/>
    </cacheField>
    <cacheField name="Smstr" numFmtId="0">
      <sharedItems/>
    </cacheField>
    <cacheField name="#" numFmtId="0">
      <sharedItems/>
    </cacheField>
    <cacheField name="Company Name" numFmtId="0">
      <sharedItems containsBlank="1"/>
    </cacheField>
    <cacheField name="Primary Location" numFmtId="0">
      <sharedItems containsBlank="1" count="19">
        <s v="I-Center"/>
        <s v="MC"/>
        <s v="Outside"/>
        <s v="Smith"/>
        <s v="Snow"/>
        <s v="Benson"/>
        <s v="Hart"/>
        <m/>
        <s v="STC"/>
        <s v="Rotated"/>
        <s v="Online"/>
        <s v="Kimball"/>
        <s v="Library Ampitheatre"/>
        <s v="Austin"/>
        <s v="Courtyard"/>
        <s v="Crossroads"/>
        <s v="By the Stadium"/>
        <s v="Ricks"/>
        <s v="Clark"/>
      </sharedItems>
    </cacheField>
    <cacheField name="Rent/Domain Amount _x000a_for Primary Location" numFmtId="0">
      <sharedItems containsBlank="1" containsMixedTypes="1" containsNumber="1" containsInteger="1" minValue="7" maxValue="150"/>
    </cacheField>
    <cacheField name="Description" numFmtId="0">
      <sharedItems containsBlank="1"/>
    </cacheField>
    <cacheField name="Revenue" numFmtId="0">
      <sharedItems containsString="0" containsBlank="1" containsNumber="1" minValue="291" maxValue="38186"/>
    </cacheField>
    <cacheField name="COGS" numFmtId="0">
      <sharedItems containsString="0" containsBlank="1" containsNumber="1" containsInteger="1" minValue="0" maxValue="15711"/>
    </cacheField>
    <cacheField name="Gross Profit" numFmtId="0">
      <sharedItems containsString="0" containsBlank="1" containsNumber="1" containsInteger="1" minValue="-157" maxValue="22474"/>
    </cacheField>
    <cacheField name="Operating Expenses" numFmtId="0">
      <sharedItems containsString="0" containsBlank="1" containsNumber="1" containsInteger="1" minValue="210" maxValue="13443"/>
    </cacheField>
    <cacheField name="Operating Income" numFmtId="0">
      <sharedItems containsString="0" containsBlank="1" containsNumber="1" containsInteger="1" minValue="-7502" maxValue="13186"/>
    </cacheField>
    <cacheField name="Net Income" numFmtId="0">
      <sharedItems containsString="0" containsBlank="1" containsNumber="1" containsInteger="1" minValue="-7502" maxValue="9213"/>
    </cacheField>
    <cacheField name="Ending Cash Balance" numFmtId="0">
      <sharedItems containsString="0" containsBlank="1" containsNumber="1" containsInteger="1" minValue="-1935" maxValue="10578"/>
    </cacheField>
    <cacheField name="Net Income Margin" numFmtId="9">
      <sharedItems containsSemiMixedTypes="0" containsString="0" containsNumber="1" minValue="-3.1237113402061856" maxValue="0.907563025210084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9">
  <r>
    <x v="0"/>
    <x v="0"/>
    <s v="H"/>
    <s v="Scrubalicious"/>
    <s v="I-Center"/>
    <n v="35"/>
    <x v="0"/>
    <n v="9031"/>
    <n v="2378"/>
    <n v="6653"/>
    <n v="4337"/>
    <n v="2276"/>
    <n v="1513"/>
    <n v="2026"/>
    <n v="0.16753404938545011"/>
  </r>
  <r>
    <x v="0"/>
    <x v="0"/>
    <s v="G"/>
    <s v="Twisted Pretzels"/>
    <s v="I-Center"/>
    <n v="35"/>
    <x v="1"/>
    <n v="5796"/>
    <n v="1479"/>
    <n v="4317"/>
    <n v="3714"/>
    <n v="602"/>
    <n v="270"/>
    <n v="1"/>
    <n v="4.6583850931677016E-2"/>
  </r>
  <r>
    <x v="0"/>
    <x v="0"/>
    <s v="F"/>
    <s v="FryNight"/>
    <s v="MC"/>
    <n v="100"/>
    <x v="2"/>
    <n v="8011"/>
    <n v="3037"/>
    <n v="4974"/>
    <n v="4385"/>
    <n v="589"/>
    <n v="299"/>
    <n v="253"/>
    <n v="3.7323679940082385E-2"/>
  </r>
  <r>
    <x v="0"/>
    <x v="0"/>
    <s v="E"/>
    <s v="Banded Together"/>
    <s v="I-Center"/>
    <n v="25"/>
    <x v="3"/>
    <n v="8326"/>
    <n v="1188"/>
    <n v="7138"/>
    <n v="4068"/>
    <n v="3069"/>
    <n v="2174"/>
    <n v="2997"/>
    <n v="0.261109776603411"/>
  </r>
  <r>
    <x v="0"/>
    <x v="0"/>
    <s v="D"/>
    <s v="The Cookie Jar"/>
    <s v="Outside"/>
    <n v="25"/>
    <x v="4"/>
    <n v="6051"/>
    <n v="2820"/>
    <n v="3230"/>
    <n v="2427"/>
    <n v="803"/>
    <n v="480"/>
    <n v="523"/>
    <n v="7.932573128408528E-2"/>
  </r>
  <r>
    <x v="0"/>
    <x v="0"/>
    <s v="C"/>
    <s v="Pretzel Parlor"/>
    <s v="Outside"/>
    <s v="25/35"/>
    <x v="5"/>
    <n v="8107"/>
    <n v="2621"/>
    <n v="5486"/>
    <n v="2938"/>
    <n v="2549"/>
    <n v="1727"/>
    <n v="2499"/>
    <n v="0.2130257801899593"/>
  </r>
  <r>
    <x v="0"/>
    <x v="0"/>
    <s v="B"/>
    <s v="DaniCakes"/>
    <s v="Smith"/>
    <n v="150"/>
    <x v="6"/>
    <n v="8953"/>
    <n v="1511"/>
    <n v="7442"/>
    <n v="6064"/>
    <n v="1378"/>
    <n v="830"/>
    <n v="993"/>
    <n v="9.2706355411593874E-2"/>
  </r>
  <r>
    <x v="0"/>
    <x v="0"/>
    <s v="A"/>
    <s v="Scratch"/>
    <s v="I-Center"/>
    <s v="25/35"/>
    <x v="7"/>
    <n v="2342"/>
    <n v="637"/>
    <n v="1705"/>
    <n v="2292"/>
    <n v="-586"/>
    <n v="-486"/>
    <n v="587"/>
    <n v="-0.20751494449188729"/>
  </r>
  <r>
    <x v="0"/>
    <x v="1"/>
    <s v="H"/>
    <s v="N'ice"/>
    <s v="Outside"/>
    <n v="25"/>
    <x v="8"/>
    <n v="7603"/>
    <n v="2011"/>
    <n v="5592"/>
    <n v="3963"/>
    <n v="1665"/>
    <n v="1108"/>
    <n v="1610"/>
    <n v="0.14573194791529659"/>
  </r>
  <r>
    <x v="0"/>
    <x v="1"/>
    <s v="G"/>
    <s v="Mad Dawg"/>
    <s v="Smith"/>
    <n v="35"/>
    <x v="9"/>
    <n v="12755"/>
    <n v="4545"/>
    <n v="8210"/>
    <n v="4718"/>
    <n v="3492"/>
    <n v="2310"/>
    <n v="3300"/>
    <n v="0.18110544884359076"/>
  </r>
  <r>
    <x v="0"/>
    <x v="1"/>
    <s v="F"/>
    <s v="Carnival Cravings"/>
    <s v="Outside"/>
    <n v="25"/>
    <x v="10"/>
    <n v="2936"/>
    <n v="537"/>
    <n v="2399"/>
    <n v="2307"/>
    <n v="92"/>
    <n v="261"/>
    <n v="399"/>
    <n v="8.8896457765667569E-2"/>
  </r>
  <r>
    <x v="0"/>
    <x v="1"/>
    <s v="E"/>
    <s v="Churro a la Rex"/>
    <s v="Outside"/>
    <n v="25"/>
    <x v="11"/>
    <n v="5497"/>
    <n v="2259"/>
    <n v="3238"/>
    <n v="3401"/>
    <n v="-163"/>
    <n v="-156"/>
    <n v="7"/>
    <n v="-2.837911588138985E-2"/>
  </r>
  <r>
    <x v="0"/>
    <x v="1"/>
    <s v="D"/>
    <s v="Super Freeze"/>
    <s v="Outside"/>
    <n v="25"/>
    <x v="12"/>
    <n v="5576"/>
    <n v="1670"/>
    <n v="3906"/>
    <n v="3606"/>
    <n v="300"/>
    <n v="102"/>
    <n v="146"/>
    <n v="1.8292682926829267E-2"/>
  </r>
  <r>
    <x v="0"/>
    <x v="1"/>
    <s v="C"/>
    <s v="Road Bum"/>
    <s v="Outside"/>
    <n v="25"/>
    <x v="13"/>
    <n v="4064"/>
    <n v="2020"/>
    <n v="2044"/>
    <n v="2271"/>
    <n v="-146"/>
    <n v="-187"/>
    <n v="21"/>
    <n v="-4.6013779527559057E-2"/>
  </r>
  <r>
    <x v="0"/>
    <x v="1"/>
    <s v="B"/>
    <s v="Woofles"/>
    <s v="Snow"/>
    <s v="25/35"/>
    <x v="14"/>
    <n v="2189"/>
    <n v="615"/>
    <n v="1574"/>
    <n v="2353"/>
    <n v="-779"/>
    <n v="-571"/>
    <n v="0"/>
    <n v="-0.26084970306075833"/>
  </r>
  <r>
    <x v="0"/>
    <x v="1"/>
    <s v="A"/>
    <s v="Cardway to Heaven"/>
    <s v="Outside"/>
    <n v="25"/>
    <x v="15"/>
    <n v="6198"/>
    <n v="3643"/>
    <n v="2555"/>
    <n v="2151"/>
    <n v="404"/>
    <n v="170"/>
    <n v="218"/>
    <n v="2.7428202646014845E-2"/>
  </r>
  <r>
    <x v="0"/>
    <x v="2"/>
    <s v="H"/>
    <s v="The Myx"/>
    <s v="Benson"/>
    <n v="35"/>
    <x v="16"/>
    <n v="2580"/>
    <n v="689"/>
    <n v="1891"/>
    <n v="2721"/>
    <n v="-830"/>
    <n v="-648"/>
    <n v="0"/>
    <n v="-0.25116279069767444"/>
  </r>
  <r>
    <x v="0"/>
    <x v="2"/>
    <s v="G"/>
    <s v="Splash"/>
    <s v="Hart"/>
    <n v="35"/>
    <x v="17"/>
    <n v="9936"/>
    <n v="3626"/>
    <n v="6310"/>
    <n v="5185"/>
    <n v="1125"/>
    <n v="698"/>
    <n v="1056"/>
    <n v="7.0249597423510474E-2"/>
  </r>
  <r>
    <x v="0"/>
    <x v="2"/>
    <s v="F"/>
    <s v="The Teahive"/>
    <s v="Outside"/>
    <s v="35 (25 + 10 for tent)"/>
    <x v="18"/>
    <n v="6380"/>
    <n v="1935"/>
    <n v="4444"/>
    <n v="4537"/>
    <n v="-93"/>
    <n v="-135"/>
    <n v="0"/>
    <n v="-2.115987460815047E-2"/>
  </r>
  <r>
    <x v="0"/>
    <x v="2"/>
    <s v="E"/>
    <s v="208 Stitch"/>
    <s v="Hart"/>
    <n v="35"/>
    <x v="19"/>
    <n v="6030"/>
    <n v="2469"/>
    <n v="3562"/>
    <n v="3178"/>
    <n v="383"/>
    <n v="162"/>
    <n v="334"/>
    <n v="2.6865671641791045E-2"/>
  </r>
  <r>
    <x v="0"/>
    <x v="2"/>
    <s v="D"/>
    <s v="Chap'd"/>
    <s v="I-Center"/>
    <n v="35"/>
    <x v="20"/>
    <n v="5936"/>
    <n v="1209"/>
    <n v="4538"/>
    <n v="2930"/>
    <n v="1608"/>
    <n v="1053"/>
    <n v="877"/>
    <n v="0.17739218328840969"/>
  </r>
  <r>
    <x v="0"/>
    <x v="2"/>
    <s v="C"/>
    <s v="Stroop There It Is"/>
    <s v="Benson"/>
    <m/>
    <x v="21"/>
    <n v="14393"/>
    <n v="2750"/>
    <n v="11643"/>
    <n v="8257"/>
    <n v="3386"/>
    <n v="2868"/>
    <n v="4375"/>
    <n v="0.19926353088306817"/>
  </r>
  <r>
    <x v="0"/>
    <x v="2"/>
    <s v="B"/>
    <s v="Cheese Louise"/>
    <s v="Smith"/>
    <n v="35"/>
    <x v="22"/>
    <n v="16664"/>
    <n v="5326"/>
    <n v="11337"/>
    <n v="6910"/>
    <n v="4428"/>
    <n v="3043"/>
    <n v="4464"/>
    <n v="0.18260921747479597"/>
  </r>
  <r>
    <x v="0"/>
    <x v="2"/>
    <s v="A"/>
    <s v="The Apricot Tree"/>
    <m/>
    <m/>
    <x v="23"/>
    <n v="3870"/>
    <n v="1468"/>
    <n v="2402"/>
    <n v="3118"/>
    <n v="-715"/>
    <n v="-625"/>
    <n v="140"/>
    <n v="-0.16149870801033592"/>
  </r>
  <r>
    <x v="1"/>
    <x v="0"/>
    <s v="H"/>
    <s v="Outlandish"/>
    <s v="Smith"/>
    <n v="35"/>
    <x v="24"/>
    <n v="9026.7199999999993"/>
    <n v="6955"/>
    <n v="5607"/>
    <n v="3852"/>
    <n v="1755"/>
    <n v="1240"/>
    <n v="1049"/>
    <n v="0.13736994168424413"/>
  </r>
  <r>
    <x v="1"/>
    <x v="0"/>
    <s v="G"/>
    <s v="Parks n Rex"/>
    <s v="STC"/>
    <n v="35"/>
    <x v="25"/>
    <n v="9146.2099999999991"/>
    <n v="3132"/>
    <n v="6018"/>
    <n v="4334"/>
    <n v="1683"/>
    <n v="1061"/>
    <n v="1863"/>
    <n v="0.11600433403562788"/>
  </r>
  <r>
    <x v="1"/>
    <x v="0"/>
    <s v="F"/>
    <s v="Cozy Co"/>
    <s v="Outside"/>
    <n v="25"/>
    <x v="26"/>
    <n v="3521.97"/>
    <n v="912"/>
    <n v="4371"/>
    <n v="3584"/>
    <n v="787"/>
    <n v="456"/>
    <n v="95"/>
    <n v="0.12947299380744301"/>
  </r>
  <r>
    <x v="1"/>
    <x v="0"/>
    <s v="E"/>
    <s v="Remember When"/>
    <s v="Rotated"/>
    <n v="25"/>
    <x v="27"/>
    <n v="2506.7399999999998"/>
    <n v="1017"/>
    <n v="2199"/>
    <n v="2802"/>
    <n v="-602"/>
    <n v="-492"/>
    <n v="436"/>
    <n v="-0.19627085377821396"/>
  </r>
  <r>
    <x v="1"/>
    <x v="0"/>
    <s v="D"/>
    <s v="FitCheck Apparel "/>
    <s v="Outside"/>
    <n v="25"/>
    <x v="28"/>
    <n v="4700"/>
    <n v="2516"/>
    <n v="2795"/>
    <n v="3905"/>
    <n v="-1110"/>
    <n v="-925"/>
    <n v="1115"/>
    <n v="-0.19680851063829788"/>
  </r>
  <r>
    <x v="1"/>
    <x v="0"/>
    <s v="C"/>
    <s v="Spirit of Wix"/>
    <s v="Rotated"/>
    <n v="35"/>
    <x v="29"/>
    <n v="10510.41"/>
    <n v="5013"/>
    <n v="7795"/>
    <n v="4285"/>
    <n v="3510"/>
    <n v="1970"/>
    <n v="2178"/>
    <n v="0.18743322096854453"/>
  </r>
  <r>
    <x v="1"/>
    <x v="0"/>
    <s v="B"/>
    <s v="Waypoint"/>
    <s v="Outside"/>
    <n v="25"/>
    <x v="30"/>
    <n v="7759.39"/>
    <n v="3769"/>
    <n v="5110"/>
    <n v="3902"/>
    <n v="1207"/>
    <n v="703"/>
    <n v="629"/>
    <n v="9.0599905404935177E-2"/>
  </r>
  <r>
    <x v="1"/>
    <x v="0"/>
    <s v="A"/>
    <s v="Funky Monkey Thrift Shop"/>
    <s v="Outside"/>
    <n v="25"/>
    <x v="31"/>
    <n v="2153.37"/>
    <n v="285"/>
    <n v="3334"/>
    <n v="3055"/>
    <n v="279"/>
    <n v="106"/>
    <n v="-25"/>
    <n v="4.9225167992495489E-2"/>
  </r>
  <r>
    <x v="1"/>
    <x v="1"/>
    <s v="H"/>
    <s v="Dunes and Co"/>
    <s v="Rotated"/>
    <n v="35"/>
    <x v="32"/>
    <n v="7124"/>
    <n v="2872"/>
    <n v="4252"/>
    <n v="3172"/>
    <n v="1079"/>
    <n v="655"/>
    <n v="935"/>
    <n v="9.1942728804042667E-2"/>
  </r>
  <r>
    <x v="1"/>
    <x v="1"/>
    <s v="G"/>
    <s v="Karate Wash"/>
    <s v="Rotated"/>
    <n v="35"/>
    <x v="33"/>
    <n v="5674"/>
    <n v="362"/>
    <n v="5288"/>
    <n v="5255"/>
    <n v="33"/>
    <n v="-20"/>
    <n v="1574"/>
    <n v="-3.5248501938667607E-3"/>
  </r>
  <r>
    <x v="1"/>
    <x v="1"/>
    <s v="F"/>
    <s v="Buzzle"/>
    <s v="Rotated"/>
    <n v="35"/>
    <x v="34"/>
    <n v="1446"/>
    <n v="249"/>
    <n v="1196"/>
    <n v="1894"/>
    <n v="-697"/>
    <n v="-435"/>
    <n v="280"/>
    <n v="-0.30082987551867219"/>
  </r>
  <r>
    <x v="1"/>
    <x v="1"/>
    <s v="E"/>
    <s v="Sewly"/>
    <s v="Rotated"/>
    <n v="35"/>
    <x v="35"/>
    <n v="2151"/>
    <n v="845"/>
    <n v="1306"/>
    <n v="1768"/>
    <n v="-462"/>
    <n v="-419"/>
    <n v="1002"/>
    <n v="-0.19479311947931194"/>
  </r>
  <r>
    <x v="1"/>
    <x v="1"/>
    <s v="D"/>
    <s v="Grungy Goat"/>
    <s v="Rotated"/>
    <n v="35"/>
    <x v="36"/>
    <n v="6697"/>
    <n v="1914"/>
    <n v="4783"/>
    <n v="3926"/>
    <n v="857"/>
    <n v="603"/>
    <n v="746"/>
    <n v="9.0040316559653583E-2"/>
  </r>
  <r>
    <x v="1"/>
    <x v="1"/>
    <s v="C"/>
    <s v="EZ Breezy"/>
    <s v="Online"/>
    <m/>
    <x v="37"/>
    <n v="291"/>
    <n v="0"/>
    <n v="291"/>
    <n v="1109"/>
    <n v="-819"/>
    <n v="-909"/>
    <n v="419"/>
    <n v="-3.1237113402061856"/>
  </r>
  <r>
    <x v="1"/>
    <x v="1"/>
    <s v="B"/>
    <s v="R Home Stickers"/>
    <s v="Online"/>
    <n v="35"/>
    <x v="38"/>
    <n v="657"/>
    <n v="377"/>
    <n v="279"/>
    <n v="626"/>
    <n v="-346"/>
    <n v="-287"/>
    <n v="100"/>
    <n v="-0.43683409436834092"/>
  </r>
  <r>
    <x v="1"/>
    <x v="1"/>
    <s v="A"/>
    <s v="Paxil"/>
    <s v="Online"/>
    <n v="35"/>
    <x v="39"/>
    <n v="2841"/>
    <n v="1965"/>
    <n v="877"/>
    <n v="1701"/>
    <n v="-825"/>
    <n v="-697"/>
    <n v="854"/>
    <n v="-0.24533614924322422"/>
  </r>
  <r>
    <x v="1"/>
    <x v="2"/>
    <s v="H"/>
    <s v="The Hunt"/>
    <s v="Rotated"/>
    <n v="35"/>
    <x v="40"/>
    <n v="4493"/>
    <n v="145"/>
    <n v="4348"/>
    <n v="2478"/>
    <n v="1869"/>
    <n v="1609"/>
    <n v="2203"/>
    <n v="0.35811261963053637"/>
  </r>
  <r>
    <x v="1"/>
    <x v="2"/>
    <s v="G"/>
    <s v="Social Survival"/>
    <s v="Rotated"/>
    <n v="35"/>
    <x v="41"/>
    <n v="2712"/>
    <n v="1295"/>
    <n v="1417"/>
    <n v="1786"/>
    <n v="-369"/>
    <n v="-404"/>
    <n v="0"/>
    <n v="-0.14896755162241887"/>
  </r>
  <r>
    <x v="1"/>
    <x v="2"/>
    <s v="F"/>
    <s v="Bel Arome"/>
    <s v="Rotated"/>
    <n v="35"/>
    <x v="42"/>
    <n v="2814"/>
    <n v="1335"/>
    <n v="1479"/>
    <n v="2102"/>
    <n v="-624"/>
    <n v="-537"/>
    <n v="613"/>
    <n v="-0.1908315565031983"/>
  </r>
  <r>
    <x v="1"/>
    <x v="2"/>
    <s v="E"/>
    <s v="Nomad"/>
    <s v="Rotated"/>
    <n v="35"/>
    <x v="43"/>
    <n v="4695"/>
    <n v="1784"/>
    <n v="2912"/>
    <n v="2470"/>
    <n v="442"/>
    <n v="184"/>
    <n v="192"/>
    <n v="3.9190628328008521E-2"/>
  </r>
  <r>
    <x v="1"/>
    <x v="2"/>
    <s v="D"/>
    <s v="Cherie Jewlery Co"/>
    <s v="Rotated"/>
    <n v="35"/>
    <x v="44"/>
    <n v="2319"/>
    <n v="364"/>
    <n v="1954"/>
    <n v="1872"/>
    <n v="83"/>
    <n v="1044"/>
    <n v="1275"/>
    <n v="0.45019404915912031"/>
  </r>
  <r>
    <x v="1"/>
    <x v="2"/>
    <s v="C"/>
    <s v="Rexburg Life"/>
    <s v="Online"/>
    <m/>
    <x v="45"/>
    <n v="476"/>
    <n v="0"/>
    <n v="476"/>
    <n v="1301"/>
    <n v="-825"/>
    <n v="432"/>
    <n v="815"/>
    <n v="0.90756302521008403"/>
  </r>
  <r>
    <x v="1"/>
    <x v="2"/>
    <s v="B"/>
    <s v="BeanPatch"/>
    <s v="Online"/>
    <m/>
    <x v="46"/>
    <n v="9644"/>
    <n v="4864"/>
    <n v="4780"/>
    <n v="1717"/>
    <n v="3063"/>
    <n v="2105"/>
    <n v="2535"/>
    <n v="0.21827042720862713"/>
  </r>
  <r>
    <x v="1"/>
    <x v="2"/>
    <s v="A"/>
    <s v="Ella Rain Jewelry"/>
    <s v="Online"/>
    <m/>
    <x v="47"/>
    <n v="2602"/>
    <n v="868"/>
    <n v="1734"/>
    <n v="1179"/>
    <n v="555"/>
    <n v="293"/>
    <n v="396"/>
    <n v="0.11260568793235973"/>
  </r>
  <r>
    <x v="2"/>
    <x v="0"/>
    <s v="H"/>
    <s v="Gator Gains"/>
    <s v="Rotated"/>
    <n v="35"/>
    <x v="48"/>
    <n v="3981"/>
    <n v="1609"/>
    <n v="2372"/>
    <n v="2343"/>
    <n v="29"/>
    <n v="-29"/>
    <n v="-325"/>
    <n v="-7.2846018588294398E-3"/>
  </r>
  <r>
    <x v="2"/>
    <x v="0"/>
    <s v="G"/>
    <s v="Mind Full"/>
    <s v="Rotated"/>
    <n v="35"/>
    <x v="49"/>
    <n v="4126"/>
    <n v="874"/>
    <n v="3159"/>
    <n v="2043"/>
    <n v="1116"/>
    <n v="714"/>
    <n v="966"/>
    <n v="0.17304895782840524"/>
  </r>
  <r>
    <x v="2"/>
    <x v="0"/>
    <s v="F"/>
    <s v="Groovy Mama"/>
    <s v="Rotated"/>
    <n v="35"/>
    <x v="50"/>
    <n v="7189"/>
    <n v="3909"/>
    <n v="3280"/>
    <n v="4538"/>
    <n v="-1258"/>
    <n v="-988"/>
    <n v="289"/>
    <n v="-0.13743218806509946"/>
  </r>
  <r>
    <x v="2"/>
    <x v="0"/>
    <s v="E"/>
    <s v="Golden Teton Clay"/>
    <s v="Rotated"/>
    <n v="35"/>
    <x v="51"/>
    <n v="4140"/>
    <n v="198"/>
    <n v="3347"/>
    <n v="2342"/>
    <n v="1005"/>
    <n v="648"/>
    <n v="1058"/>
    <n v="0.15652173913043479"/>
  </r>
  <r>
    <x v="2"/>
    <x v="0"/>
    <s v="D"/>
    <s v="Hidden  Gems"/>
    <s v="Rotated"/>
    <n v="35"/>
    <x v="52"/>
    <n v="4385"/>
    <n v="807"/>
    <n v="3578"/>
    <n v="3251"/>
    <n v="328"/>
    <n v="179"/>
    <n v="295"/>
    <n v="4.0820980615735462E-2"/>
  </r>
  <r>
    <x v="2"/>
    <x v="0"/>
    <s v="C"/>
    <s v="Fibra Bands"/>
    <s v="Online"/>
    <m/>
    <x v="53"/>
    <n v="2082"/>
    <n v="1126"/>
    <n v="976"/>
    <n v="2603"/>
    <n v="-1627"/>
    <n v="-1246"/>
    <n v="-484"/>
    <n v="-0.59846301633045151"/>
  </r>
  <r>
    <x v="2"/>
    <x v="0"/>
    <s v="B"/>
    <s v="Alpacka Box"/>
    <s v="Online"/>
    <m/>
    <x v="54"/>
    <n v="4872"/>
    <n v="2584"/>
    <n v="2288"/>
    <n v="2013"/>
    <n v="275"/>
    <n v="81"/>
    <n v="60"/>
    <n v="1.6625615763546799E-2"/>
  </r>
  <r>
    <x v="2"/>
    <x v="0"/>
    <s v="A"/>
    <s v="Game Box"/>
    <s v="Online"/>
    <m/>
    <x v="55"/>
    <n v="2570"/>
    <n v="1260"/>
    <n v="1310"/>
    <n v="1345"/>
    <n v="-35"/>
    <n v="-10"/>
    <n v="1052"/>
    <n v="-3.8910505836575876E-3"/>
  </r>
  <r>
    <x v="2"/>
    <x v="1"/>
    <s v="A"/>
    <s v="Rexburg Roots"/>
    <s v="Online"/>
    <n v="7"/>
    <x v="56"/>
    <n v="3436"/>
    <n v="2533"/>
    <n v="904"/>
    <n v="2740"/>
    <n v="-1836"/>
    <n v="-1430"/>
    <n v="-27"/>
    <n v="-0.41618160651920838"/>
  </r>
  <r>
    <x v="2"/>
    <x v="2"/>
    <s v="I"/>
    <s v="Taco Town"/>
    <s v="Kimball"/>
    <n v="75"/>
    <x v="57"/>
    <n v="3208"/>
    <n v="1936"/>
    <n v="1676"/>
    <n v="3303"/>
    <n v="-1627"/>
    <n v="-1198"/>
    <n v="515"/>
    <n v="-0.37344139650872821"/>
  </r>
  <r>
    <x v="2"/>
    <x v="2"/>
    <s v="H"/>
    <s v="Uli"/>
    <s v="MC"/>
    <n v="35"/>
    <x v="58"/>
    <n v="4103"/>
    <n v="423"/>
    <n v="3680"/>
    <n v="3394"/>
    <n v="286"/>
    <n v="162"/>
    <n v="1900"/>
    <n v="3.9483304898854495E-2"/>
  </r>
  <r>
    <x v="2"/>
    <x v="2"/>
    <s v="G"/>
    <s v="Sweet Life"/>
    <s v="MC"/>
    <n v="35"/>
    <x v="59"/>
    <n v="1894"/>
    <n v="897"/>
    <n v="997"/>
    <n v="2092"/>
    <n v="-1095"/>
    <n v="-809"/>
    <n v="909"/>
    <n v="-0.42713833157338965"/>
  </r>
  <r>
    <x v="2"/>
    <x v="2"/>
    <s v="F"/>
    <s v="Layers"/>
    <s v="MC"/>
    <n v="35"/>
    <x v="60"/>
    <n v="2737"/>
    <n v="350"/>
    <n v="2387"/>
    <n v="2001"/>
    <n v="386"/>
    <n v="242"/>
    <n v="1740"/>
    <n v="8.8417975886006583E-2"/>
  </r>
  <r>
    <x v="2"/>
    <x v="2"/>
    <s v="E"/>
    <s v="Cozy's"/>
    <s v="MC"/>
    <n v="35"/>
    <x v="61"/>
    <n v="2838"/>
    <n v="582"/>
    <n v="2256"/>
    <n v="2848"/>
    <n v="-592"/>
    <n v="-449"/>
    <n v="712"/>
    <n v="-0.15821000704721636"/>
  </r>
  <r>
    <x v="2"/>
    <x v="2"/>
    <s v="D"/>
    <s v="Sweet Traditions"/>
    <s v="MC"/>
    <n v="35"/>
    <x v="62"/>
    <n v="1604"/>
    <n v="1760"/>
    <n v="-157"/>
    <n v="1057"/>
    <n v="-1214"/>
    <n v="-895"/>
    <n v="807"/>
    <n v="-0.55798004987531169"/>
  </r>
  <r>
    <x v="2"/>
    <x v="2"/>
    <s v="C"/>
    <s v="Switchback"/>
    <s v="MC"/>
    <n v="35"/>
    <x v="63"/>
    <n v="1702"/>
    <n v="1085"/>
    <n v="617"/>
    <n v="1554"/>
    <n v="-937"/>
    <n v="-712"/>
    <n v="1012"/>
    <n v="-0.418331374853114"/>
  </r>
  <r>
    <x v="2"/>
    <x v="2"/>
    <s v="B"/>
    <s v="Burro"/>
    <s v="Smith"/>
    <n v="150"/>
    <x v="64"/>
    <n v="6987"/>
    <n v="3711"/>
    <n v="3276"/>
    <n v="4663"/>
    <n v="-1388"/>
    <n v="-1009"/>
    <n v="735"/>
    <n v="-0.14441104909116931"/>
  </r>
  <r>
    <x v="2"/>
    <x v="2"/>
    <s v="A"/>
    <s v="Pop Shop"/>
    <s v="Library Ampitheatre"/>
    <n v="35"/>
    <x v="65"/>
    <n v="3644"/>
    <n v="2621"/>
    <n v="971"/>
    <n v="2046"/>
    <n v="-1075"/>
    <n v="-812"/>
    <n v="1362"/>
    <n v="-0.22283205268935236"/>
  </r>
  <r>
    <x v="3"/>
    <x v="0"/>
    <s v="H"/>
    <s v="Boom! Toasted"/>
    <s v="Kimball"/>
    <n v="75"/>
    <x v="66"/>
    <n v="3428"/>
    <n v="2512"/>
    <n v="916"/>
    <n v="2360"/>
    <n v="-1444"/>
    <n v="-1059"/>
    <n v="-197"/>
    <n v="-0.308926487747958"/>
  </r>
  <r>
    <x v="3"/>
    <x v="0"/>
    <s v="G"/>
    <s v="Salt Fix"/>
    <s v="STC"/>
    <n v="150"/>
    <x v="1"/>
    <n v="5697"/>
    <n v="1436"/>
    <n v="4261"/>
    <n v="4515"/>
    <n v="-254"/>
    <n v="-207"/>
    <n v="1660"/>
    <n v="-3.6334913112164295E-2"/>
  </r>
  <r>
    <x v="3"/>
    <x v="0"/>
    <s v="F"/>
    <s v="Batter Up"/>
    <s v="Library Ampitheatre"/>
    <n v="35"/>
    <x v="67"/>
    <n v="5248"/>
    <n v="1233"/>
    <n v="4015"/>
    <n v="5082"/>
    <n v="-1067"/>
    <n v="-795"/>
    <n v="1955"/>
    <n v="-0.15148628048780488"/>
  </r>
  <r>
    <x v="3"/>
    <x v="0"/>
    <s v="E"/>
    <s v="Subtle, Me"/>
    <s v="MC"/>
    <n v="35"/>
    <x v="68"/>
    <n v="6984"/>
    <n v="2320"/>
    <n v="4574"/>
    <n v="5895"/>
    <n v="-1321"/>
    <n v="-978"/>
    <n v="1890"/>
    <n v="-0.14003436426116839"/>
  </r>
  <r>
    <x v="3"/>
    <x v="0"/>
    <s v="D"/>
    <s v="The Shoppe"/>
    <s v="MC"/>
    <n v="35"/>
    <x v="69"/>
    <n v="5471"/>
    <n v="1786"/>
    <n v="3685"/>
    <n v="2937"/>
    <n v="748"/>
    <n v="462"/>
    <n v="1711"/>
    <n v="8.4445256808627314E-2"/>
  </r>
  <r>
    <x v="3"/>
    <x v="0"/>
    <s v="C"/>
    <s v="Bonga Beads"/>
    <s v="MC"/>
    <n v="35"/>
    <x v="70"/>
    <n v="7498"/>
    <n v="1924"/>
    <n v="5575"/>
    <n v="4234"/>
    <n v="1341"/>
    <n v="911"/>
    <n v="3268"/>
    <n v="0.1214990664177114"/>
  </r>
  <r>
    <x v="3"/>
    <x v="0"/>
    <s v="B"/>
    <s v="Toasties"/>
    <s v="Smith"/>
    <n v="150"/>
    <x v="71"/>
    <n v="11973"/>
    <n v="6906"/>
    <n v="5067"/>
    <n v="3782"/>
    <n v="1285"/>
    <n v="863"/>
    <n v="5959"/>
    <n v="7.2078844065814746E-2"/>
  </r>
  <r>
    <x v="3"/>
    <x v="0"/>
    <s v="A"/>
    <s v="Boujee"/>
    <s v="MC"/>
    <n v="35"/>
    <x v="72"/>
    <n v="3806"/>
    <n v="2140"/>
    <n v="1666"/>
    <n v="2772"/>
    <n v="-1106"/>
    <n v="-816"/>
    <n v="286"/>
    <n v="-0.21439831844456123"/>
  </r>
  <r>
    <x v="3"/>
    <x v="1"/>
    <s v="H"/>
    <s v="The Dog House"/>
    <s v="MC"/>
    <n v="25"/>
    <x v="73"/>
    <n v="9088"/>
    <n v="3249"/>
    <n v="5839"/>
    <n v="7319"/>
    <n v="-1480"/>
    <n v="-1084"/>
    <n v="3333"/>
    <n v="-0.1192781690140845"/>
  </r>
  <r>
    <x v="3"/>
    <x v="1"/>
    <s v="G"/>
    <s v="Yellow Stitch"/>
    <s v="MC"/>
    <n v="35"/>
    <x v="74"/>
    <n v="9043"/>
    <n v="3049"/>
    <n v="5994"/>
    <n v="3834"/>
    <n v="2160"/>
    <n v="1479"/>
    <n v="6551"/>
    <n v="0.1635519186110804"/>
  </r>
  <r>
    <x v="3"/>
    <x v="1"/>
    <s v="F"/>
    <s v="Outdoorish"/>
    <s v="Library Ampitheatre"/>
    <n v="35"/>
    <x v="75"/>
    <n v="4845"/>
    <n v="4257"/>
    <n v="588"/>
    <n v="3398"/>
    <n v="-2810"/>
    <n v="-2060"/>
    <n v="0"/>
    <n v="-0.42518059855521156"/>
  </r>
  <r>
    <x v="3"/>
    <x v="1"/>
    <s v="E"/>
    <s v="Boneless Bytes"/>
    <s v="STC"/>
    <n v="150"/>
    <x v="76"/>
    <n v="13878"/>
    <n v="7978"/>
    <n v="5900"/>
    <n v="8376"/>
    <n v="-2476"/>
    <n v="1765"/>
    <n v="3726"/>
    <n v="0.12717970889177116"/>
  </r>
  <r>
    <x v="3"/>
    <x v="1"/>
    <s v="D"/>
    <s v="The Shack"/>
    <s v="Smith"/>
    <n v="150"/>
    <x v="77"/>
    <n v="9183"/>
    <n v="3947"/>
    <n v="5236"/>
    <n v="7191"/>
    <n v="-1955"/>
    <n v="-1410"/>
    <n v="2217"/>
    <n v="-0.15354459327017314"/>
  </r>
  <r>
    <x v="3"/>
    <x v="1"/>
    <s v="C"/>
    <s v="Uncle Pops"/>
    <s v="Library Ampitheatre"/>
    <n v="25"/>
    <x v="78"/>
    <n v="4612"/>
    <n v="2347"/>
    <n v="2265"/>
    <n v="3198"/>
    <n v="-933"/>
    <n v="-752"/>
    <n v="950"/>
    <n v="-0.16305290546400694"/>
  </r>
  <r>
    <x v="3"/>
    <x v="1"/>
    <s v="B"/>
    <s v="Phil's Philly Cheese Steaks"/>
    <s v="Kimball"/>
    <n v="75"/>
    <x v="79"/>
    <n v="7560"/>
    <n v="3506"/>
    <n v="4054"/>
    <n v="7271"/>
    <n v="-3217"/>
    <n v="-2326"/>
    <n v="1679"/>
    <n v="-0.30767195767195765"/>
  </r>
  <r>
    <x v="3"/>
    <x v="1"/>
    <s v="A"/>
    <s v="In The Loop"/>
    <s v="MC"/>
    <n v="35"/>
    <x v="80"/>
    <n v="6684"/>
    <n v="6327"/>
    <n v="357"/>
    <n v="4116"/>
    <n v="-3759"/>
    <n v="-2659"/>
    <n v="3265"/>
    <n v="-0.39781567923399164"/>
  </r>
  <r>
    <x v="3"/>
    <x v="2"/>
    <s v="I"/>
    <s v="Sticker Seal"/>
    <s v="MC"/>
    <n v="35"/>
    <x v="38"/>
    <n v="4719"/>
    <n v="1830"/>
    <n v="2889"/>
    <n v="4635"/>
    <n v="-1746"/>
    <n v="-1293"/>
    <n v="1948"/>
    <n v="-0.27399872854418311"/>
  </r>
  <r>
    <x v="3"/>
    <x v="2"/>
    <s v="H"/>
    <s v="VNL"/>
    <s v="MC"/>
    <n v="35"/>
    <x v="81"/>
    <n v="7226"/>
    <n v="2393"/>
    <n v="4833"/>
    <n v="4687"/>
    <n v="146"/>
    <n v="150"/>
    <n v="2772"/>
    <n v="2.0758372543592581E-2"/>
  </r>
  <r>
    <x v="3"/>
    <x v="2"/>
    <s v="G"/>
    <s v="Bigfoot Stickers"/>
    <s v="MC"/>
    <n v="35"/>
    <x v="38"/>
    <n v="4732"/>
    <n v="912"/>
    <n v="3820"/>
    <n v="3714"/>
    <n v="106"/>
    <n v="28"/>
    <n v="2460"/>
    <n v="5.9171597633136093E-3"/>
  </r>
  <r>
    <x v="3"/>
    <x v="2"/>
    <s v="F"/>
    <s v="Rep-it"/>
    <s v="MC"/>
    <n v="35"/>
    <x v="81"/>
    <n v="8714"/>
    <n v="5544"/>
    <n v="3170"/>
    <n v="5054"/>
    <n v="-1884"/>
    <n v="-1376"/>
    <n v="2346"/>
    <n v="-0.15790681661693826"/>
  </r>
  <r>
    <x v="3"/>
    <x v="2"/>
    <s v="E"/>
    <s v="Smith Street Tacos"/>
    <s v="Smith"/>
    <n v="150"/>
    <x v="82"/>
    <n v="13100"/>
    <n v="7515"/>
    <n v="5585"/>
    <n v="7340"/>
    <n v="-1755"/>
    <n v="-1309"/>
    <n v="5709"/>
    <n v="-9.9923664122137407E-2"/>
  </r>
  <r>
    <x v="3"/>
    <x v="2"/>
    <s v="D"/>
    <s v="Sweetums"/>
    <s v="MC"/>
    <n v="35"/>
    <x v="83"/>
    <n v="6391"/>
    <n v="2928"/>
    <n v="3463"/>
    <n v="3998"/>
    <n v="-535"/>
    <n v="-417"/>
    <n v="1909"/>
    <n v="-6.5248005007041157E-2"/>
  </r>
  <r>
    <x v="3"/>
    <x v="2"/>
    <s v="C"/>
    <s v="Rexadilla"/>
    <s v="Austin"/>
    <n v="35"/>
    <x v="84"/>
    <n v="11393"/>
    <n v="5499"/>
    <n v="5894"/>
    <n v="5091"/>
    <n v="802"/>
    <n v="518"/>
    <n v="4765"/>
    <n v="4.5466514526463615E-2"/>
  </r>
  <r>
    <x v="3"/>
    <x v="2"/>
    <s v="B"/>
    <s v="Casa de Kimabll"/>
    <s v="Kimball"/>
    <n v="75"/>
    <x v="85"/>
    <n v="12743"/>
    <n v="8001"/>
    <n v="4743"/>
    <n v="7166"/>
    <n v="-2423"/>
    <n v="-1742"/>
    <n v="4151"/>
    <n v="-0.1367025033351644"/>
  </r>
  <r>
    <x v="3"/>
    <x v="2"/>
    <s v="A"/>
    <s v="The Dunes"/>
    <s v="STC"/>
    <n v="150"/>
    <x v="86"/>
    <n v="18838"/>
    <n v="10821"/>
    <n v="8017"/>
    <n v="6339"/>
    <n v="1678"/>
    <n v="1116"/>
    <n v="7954"/>
    <n v="5.9241957744983545E-2"/>
  </r>
  <r>
    <x v="4"/>
    <x v="0"/>
    <s v="H"/>
    <s v="Viva la Bowl"/>
    <s v="Kimball"/>
    <n v="75"/>
    <x v="87"/>
    <n v="9919"/>
    <n v="5460"/>
    <n v="4458"/>
    <n v="5182"/>
    <n v="-723"/>
    <n v="-547"/>
    <n v="2509"/>
    <n v="-5.514668817421111E-2"/>
  </r>
  <r>
    <x v="4"/>
    <x v="0"/>
    <s v="G"/>
    <s v="Cyber Sliders"/>
    <s v="STC"/>
    <n v="150"/>
    <x v="88"/>
    <n v="9446"/>
    <n v="5102"/>
    <n v="4344"/>
    <n v="4556"/>
    <n v="-213"/>
    <n v="-75"/>
    <n v="4354"/>
    <n v="-7.9398687275037058E-3"/>
  </r>
  <r>
    <x v="4"/>
    <x v="0"/>
    <s v="F"/>
    <s v="Lunch Box"/>
    <s v="Smith"/>
    <n v="150"/>
    <x v="89"/>
    <n v="15264"/>
    <n v="6521"/>
    <n v="8742"/>
    <n v="4737"/>
    <n v="4005"/>
    <n v="2780"/>
    <n v="8253"/>
    <n v="0.18212788259958071"/>
  </r>
  <r>
    <x v="4"/>
    <x v="0"/>
    <s v="E"/>
    <s v="Copper Kettle"/>
    <s v="Courtyard"/>
    <n v="35"/>
    <x v="90"/>
    <n v="8784"/>
    <n v="3456"/>
    <n v="5325"/>
    <n v="4787"/>
    <n v="538"/>
    <n v="345"/>
    <n v="3325"/>
    <n v="3.9275956284153007E-2"/>
  </r>
  <r>
    <x v="4"/>
    <x v="0"/>
    <s v="D"/>
    <s v="Lit"/>
    <s v="MC"/>
    <n v="35"/>
    <x v="29"/>
    <n v="8276"/>
    <n v="3153"/>
    <n v="5123"/>
    <n v="2530"/>
    <n v="2593"/>
    <n v="1758"/>
    <n v="3723"/>
    <n v="0.2124214596423393"/>
  </r>
  <r>
    <x v="4"/>
    <x v="0"/>
    <s v="C"/>
    <s v="ROFL Games"/>
    <s v="MC"/>
    <n v="35"/>
    <x v="91"/>
    <n v="8448"/>
    <n v="3919"/>
    <n v="5159"/>
    <n v="1468"/>
    <n v="1468"/>
    <n v="998"/>
    <n v="4574"/>
    <n v="0.1181344696969697"/>
  </r>
  <r>
    <x v="4"/>
    <x v="0"/>
    <s v="B"/>
    <s v="Silver Lining"/>
    <s v="MC"/>
    <n v="35"/>
    <x v="92"/>
    <n v="14475"/>
    <n v="2419"/>
    <n v="12056"/>
    <n v="3717"/>
    <n v="8339"/>
    <n v="5754"/>
    <n v="10578"/>
    <n v="0.39751295336787562"/>
  </r>
  <r>
    <x v="4"/>
    <x v="0"/>
    <s v="A"/>
    <s v="Gnarly Woodworks"/>
    <s v="MC"/>
    <n v="35"/>
    <x v="93"/>
    <n v="8360"/>
    <n v="1756"/>
    <n v="6604"/>
    <n v="4816"/>
    <n v="1788"/>
    <n v="1280"/>
    <n v="6130"/>
    <n v="0.15311004784688995"/>
  </r>
  <r>
    <x v="4"/>
    <x v="1"/>
    <s v="H"/>
    <s v="Fantastic Foods"/>
    <s v="MC"/>
    <n v="35"/>
    <x v="94"/>
    <n v="3354"/>
    <n v="3244"/>
    <n v="110"/>
    <n v="3424"/>
    <n v="-3313"/>
    <n v="-2402"/>
    <n v="-1935"/>
    <n v="-0.71615980918306499"/>
  </r>
  <r>
    <x v="4"/>
    <x v="1"/>
    <s v="G"/>
    <s v="Imperial Rice"/>
    <s v="STC"/>
    <n v="150"/>
    <x v="95"/>
    <n v="9102"/>
    <n v="5264"/>
    <n v="3838"/>
    <n v="5423"/>
    <n v="-1585"/>
    <n v="-1169"/>
    <n v="3738"/>
    <n v="-0.12843331136014063"/>
  </r>
  <r>
    <x v="4"/>
    <x v="1"/>
    <s v="F"/>
    <s v="Jurassic Wraps"/>
    <s v="Kimball"/>
    <n v="75"/>
    <x v="96"/>
    <n v="7481"/>
    <n v="3653"/>
    <n v="3828"/>
    <n v="4582"/>
    <n v="-753"/>
    <n v="-566"/>
    <n v="2160"/>
    <n v="-7.5658334447266412E-2"/>
  </r>
  <r>
    <x v="4"/>
    <x v="1"/>
    <s v="E"/>
    <s v="Joey &amp; Co"/>
    <s v="MC"/>
    <n v="35"/>
    <x v="56"/>
    <n v="3802"/>
    <n v="2219"/>
    <n v="1583"/>
    <n v="2905"/>
    <n v="-1322"/>
    <n v="-978"/>
    <n v="567"/>
    <n v="-0.25723303524460811"/>
  </r>
  <r>
    <x v="4"/>
    <x v="1"/>
    <s v="D"/>
    <s v="Shaves"/>
    <s v="Smith"/>
    <n v="150"/>
    <x v="97"/>
    <n v="3052"/>
    <n v="682"/>
    <n v="2370"/>
    <n v="5612"/>
    <n v="-3242"/>
    <n v="-2340"/>
    <n v="-691"/>
    <n v="-0.76671035386631714"/>
  </r>
  <r>
    <x v="4"/>
    <x v="1"/>
    <s v="C"/>
    <s v="Honu Life"/>
    <s v="Courtyard"/>
    <n v="35"/>
    <x v="98"/>
    <n v="4910"/>
    <n v="2858"/>
    <n v="2052"/>
    <n v="3008"/>
    <n v="956"/>
    <n v="-753"/>
    <n v="1229"/>
    <n v="-0.15336048879837066"/>
  </r>
  <r>
    <x v="4"/>
    <x v="1"/>
    <s v="B"/>
    <s v="Laurel Bee"/>
    <s v="MC"/>
    <n v="35"/>
    <x v="92"/>
    <n v="4486"/>
    <n v="932"/>
    <n v="3553"/>
    <n v="2733"/>
    <n v="821"/>
    <n v="559"/>
    <n v="2339"/>
    <n v="0.12460989745876058"/>
  </r>
  <r>
    <x v="4"/>
    <x v="1"/>
    <s v="A"/>
    <s v="Serenity"/>
    <s v="MC"/>
    <n v="35"/>
    <x v="34"/>
    <n v="3050"/>
    <n v="1103"/>
    <n v="1946"/>
    <n v="2907"/>
    <n v="-961"/>
    <n v="-704"/>
    <n v="796"/>
    <n v="-0.23081967213114754"/>
  </r>
  <r>
    <x v="4"/>
    <x v="2"/>
    <s v="G"/>
    <s v="Bee's Knees"/>
    <s v="MC"/>
    <n v="35"/>
    <x v="99"/>
    <n v="7980"/>
    <n v="2616"/>
    <n v="5364"/>
    <n v="4243"/>
    <n v="1121"/>
    <n v="714"/>
    <n v="3990"/>
    <n v="8.9473684210526316E-2"/>
  </r>
  <r>
    <x v="4"/>
    <x v="2"/>
    <s v="F"/>
    <s v="Sawtooth Supply Co"/>
    <s v="MC"/>
    <n v="35"/>
    <x v="100"/>
    <n v="11023"/>
    <n v="3094"/>
    <n v="4162"/>
    <n v="3788"/>
    <n v="375"/>
    <n v="332"/>
    <n v="3678"/>
    <n v="3.0118842420393723E-2"/>
  </r>
  <r>
    <x v="4"/>
    <x v="2"/>
    <s v="E"/>
    <s v="Date Box"/>
    <s v="MC"/>
    <n v="35"/>
    <x v="101"/>
    <n v="6647"/>
    <n v="4147"/>
    <n v="2501"/>
    <n v="4042"/>
    <n v="-1541"/>
    <n v="-1191"/>
    <n v="1766"/>
    <n v="-0.17917857680156463"/>
  </r>
  <r>
    <x v="4"/>
    <x v="2"/>
    <s v="D"/>
    <s v="Patch Co."/>
    <s v="MC"/>
    <n v="35"/>
    <x v="102"/>
    <n v="9093"/>
    <n v="3902"/>
    <n v="5190"/>
    <n v="3741"/>
    <n v="1449"/>
    <n v="937"/>
    <n v="3574"/>
    <n v="0.10304629935114924"/>
  </r>
  <r>
    <x v="4"/>
    <x v="2"/>
    <s v="C"/>
    <s v="Soup City"/>
    <s v="Kimball"/>
    <n v="75"/>
    <x v="103"/>
    <n v="11128"/>
    <n v="4622"/>
    <n v="6506"/>
    <n v="6493"/>
    <n v="13"/>
    <n v="-70"/>
    <n v="3535"/>
    <n v="-6.2904385334291877E-3"/>
  </r>
  <r>
    <x v="4"/>
    <x v="2"/>
    <s v="B"/>
    <s v="The Coop"/>
    <s v="STC"/>
    <n v="150"/>
    <x v="104"/>
    <n v="18262"/>
    <n v="9266"/>
    <n v="8995"/>
    <n v="7186"/>
    <n v="1809"/>
    <n v="1222"/>
    <n v="6252"/>
    <n v="6.6914905267769137E-2"/>
  </r>
  <r>
    <x v="4"/>
    <x v="2"/>
    <s v="A"/>
    <s v="Shredded Chicken"/>
    <s v="Smith"/>
    <n v="150"/>
    <x v="105"/>
    <n v="16323"/>
    <n v="6720"/>
    <n v="9604"/>
    <n v="7332"/>
    <n v="2272"/>
    <n v="1783"/>
    <n v="7461"/>
    <n v="0.10923237150033695"/>
  </r>
  <r>
    <x v="5"/>
    <x v="0"/>
    <s v="G"/>
    <s v="Hot Spot"/>
    <s v="MC"/>
    <n v="35"/>
    <x v="106"/>
    <n v="3033"/>
    <n v="2396"/>
    <n v="637"/>
    <n v="2671"/>
    <n v="-2034"/>
    <n v="-1543"/>
    <m/>
    <n v="-0.50873722387075504"/>
  </r>
  <r>
    <x v="5"/>
    <x v="0"/>
    <s v="F"/>
    <s v="Wafel Co."/>
    <s v="Library Ampitheatre"/>
    <n v="35"/>
    <x v="107"/>
    <n v="12637"/>
    <n v="5738"/>
    <n v="6899"/>
    <n v="6168"/>
    <n v="731"/>
    <n v="438"/>
    <m/>
    <n v="3.4660125029674763E-2"/>
  </r>
  <r>
    <x v="5"/>
    <x v="0"/>
    <s v="E"/>
    <s v="Mama's Bistro"/>
    <s v="STC"/>
    <n v="150"/>
    <x v="108"/>
    <n v="15648"/>
    <n v="6388"/>
    <n v="9260"/>
    <n v="8640"/>
    <n v="620"/>
    <n v="378"/>
    <m/>
    <n v="2.415644171779141E-2"/>
  </r>
  <r>
    <x v="5"/>
    <x v="0"/>
    <s v="D"/>
    <s v="Dough Mama's Kitchen"/>
    <s v="Smith"/>
    <n v="150"/>
    <x v="109"/>
    <n v="7680"/>
    <n v="3705"/>
    <n v="3975"/>
    <n v="5746"/>
    <n v="-1771"/>
    <n v="-1323"/>
    <m/>
    <n v="-0.17226562500000001"/>
  </r>
  <r>
    <x v="5"/>
    <x v="0"/>
    <s v="C"/>
    <s v="Visual Records"/>
    <s v="MC"/>
    <n v="35"/>
    <x v="110"/>
    <n v="7421"/>
    <n v="3322"/>
    <n v="4099"/>
    <n v="3686"/>
    <n v="413"/>
    <n v="241"/>
    <m/>
    <n v="3.2475407627004446E-2"/>
  </r>
  <r>
    <x v="5"/>
    <x v="0"/>
    <s v="B"/>
    <s v="Cozy Comforts"/>
    <s v="MC"/>
    <n v="35"/>
    <x v="111"/>
    <n v="10660"/>
    <n v="5884"/>
    <n v="4776"/>
    <n v="3648"/>
    <n v="1128"/>
    <n v="670"/>
    <m/>
    <n v="6.2851782363977482E-2"/>
  </r>
  <r>
    <x v="5"/>
    <x v="0"/>
    <s v="A"/>
    <s v="Open Box Games"/>
    <s v="MC"/>
    <n v="35"/>
    <x v="112"/>
    <n v="20321"/>
    <n v="8544"/>
    <n v="11777"/>
    <n v="3993"/>
    <n v="7784"/>
    <n v="5446"/>
    <m/>
    <n v="0.26799862211505338"/>
  </r>
  <r>
    <x v="5"/>
    <x v="1"/>
    <s v="F"/>
    <s v="StickOut"/>
    <s v="MC"/>
    <m/>
    <x v="113"/>
    <n v="5092"/>
    <n v="788"/>
    <n v="4305"/>
    <n v="4304"/>
    <n v="1"/>
    <n v="-62"/>
    <m/>
    <n v="-1.2175962293794187E-2"/>
  </r>
  <r>
    <x v="5"/>
    <x v="1"/>
    <s v="E"/>
    <s v="ParadICE"/>
    <s v="Library Ampitheatre"/>
    <m/>
    <x v="114"/>
    <n v="4507"/>
    <n v="1036"/>
    <n v="3471"/>
    <n v="4595"/>
    <n v="-1124"/>
    <n v="-846"/>
    <m/>
    <n v="-0.18770800976259153"/>
  </r>
  <r>
    <x v="5"/>
    <x v="1"/>
    <s v="D"/>
    <s v="Chanchos"/>
    <s v="Crossroads"/>
    <m/>
    <x v="115"/>
    <n v="15592"/>
    <n v="4456"/>
    <n v="11137"/>
    <n v="8743"/>
    <n v="2394"/>
    <n v="1531"/>
    <m/>
    <n v="9.8191380194971783E-2"/>
  </r>
  <r>
    <x v="5"/>
    <x v="1"/>
    <s v="C"/>
    <s v="Doughlicious"/>
    <s v="Library Ampitheatre"/>
    <m/>
    <x v="116"/>
    <n v="8539"/>
    <n v="2314"/>
    <n v="6225"/>
    <n v="7310"/>
    <n v="-1085"/>
    <n v="-811"/>
    <m/>
    <n v="-9.4975992504977166E-2"/>
  </r>
  <r>
    <x v="5"/>
    <x v="1"/>
    <s v="B"/>
    <s v="Ohana Hut"/>
    <s v="STC"/>
    <m/>
    <x v="117"/>
    <n v="11432"/>
    <n v="5567"/>
    <n v="5866"/>
    <n v="7016"/>
    <n v="-1150"/>
    <n v="-875"/>
    <m/>
    <n v="-7.6539538138558433E-2"/>
  </r>
  <r>
    <x v="5"/>
    <x v="1"/>
    <s v="A"/>
    <s v="Treeline"/>
    <s v="MC"/>
    <m/>
    <x v="118"/>
    <n v="20078"/>
    <n v="11478"/>
    <n v="8600"/>
    <n v="4076"/>
    <n v="4524"/>
    <n v="3091"/>
    <m/>
    <n v="0.15394959657336388"/>
  </r>
  <r>
    <x v="5"/>
    <x v="2"/>
    <s v="H"/>
    <s v="Impress"/>
    <s v="MC"/>
    <m/>
    <x v="119"/>
    <n v="5786"/>
    <n v="2930"/>
    <n v="2930"/>
    <n v="4413"/>
    <n v="-1483"/>
    <n v="-1069"/>
    <m/>
    <n v="-0.18475630833045281"/>
  </r>
  <r>
    <x v="5"/>
    <x v="2"/>
    <s v="G"/>
    <s v="Simply Soft"/>
    <s v="MC"/>
    <m/>
    <x v="120"/>
    <n v="4762"/>
    <n v="2334"/>
    <n v="2428"/>
    <n v="3559"/>
    <n v="-1131"/>
    <n v="-875"/>
    <m/>
    <n v="-0.18374632507349853"/>
  </r>
  <r>
    <x v="5"/>
    <x v="2"/>
    <s v="F"/>
    <s v="Backyard BBQ"/>
    <s v="STC"/>
    <m/>
    <x v="121"/>
    <n v="15613"/>
    <n v="5088"/>
    <n v="10526"/>
    <n v="6784"/>
    <n v="3742"/>
    <n v="2531"/>
    <m/>
    <n v="0.1621084993274835"/>
  </r>
  <r>
    <x v="5"/>
    <x v="2"/>
    <s v="E"/>
    <s v="Acai Bowl"/>
    <s v="Benson"/>
    <m/>
    <x v="122"/>
    <n v="11753"/>
    <n v="2956"/>
    <n v="8797"/>
    <n v="5468"/>
    <n v="3328"/>
    <n v="2301"/>
    <m/>
    <n v="0.19577980090189739"/>
  </r>
  <r>
    <x v="5"/>
    <x v="2"/>
    <s v="D"/>
    <s v="Wing Shack"/>
    <s v="Crossroads"/>
    <m/>
    <x v="123"/>
    <n v="38186"/>
    <n v="15711"/>
    <n v="22474"/>
    <n v="9288"/>
    <n v="13186"/>
    <n v="9213"/>
    <m/>
    <n v="0.24126643272403497"/>
  </r>
  <r>
    <x v="5"/>
    <x v="2"/>
    <s v="C"/>
    <s v="Nature"/>
    <s v="MC"/>
    <m/>
    <x v="120"/>
    <n v="7404"/>
    <n v="3622"/>
    <n v="3783"/>
    <n v="3283"/>
    <n v="500"/>
    <n v="511"/>
    <m/>
    <n v="6.9016747703943809E-2"/>
  </r>
  <r>
    <x v="5"/>
    <x v="2"/>
    <s v="B"/>
    <s v="The Sock Shop"/>
    <s v="MC"/>
    <m/>
    <x v="124"/>
    <n v="9534"/>
    <n v="4687"/>
    <n v="4847"/>
    <n v="3873"/>
    <n v="974"/>
    <n v="632"/>
    <m/>
    <n v="6.6289070694357036E-2"/>
  </r>
  <r>
    <x v="5"/>
    <x v="2"/>
    <s v="A"/>
    <s v="The Meltdown"/>
    <s v="Smith"/>
    <m/>
    <x v="125"/>
    <n v="15117"/>
    <n v="4672"/>
    <n v="10446"/>
    <n v="7254"/>
    <n v="3191"/>
    <n v="2187"/>
    <m/>
    <n v="0.14467156181782101"/>
  </r>
  <r>
    <x v="6"/>
    <x v="0"/>
    <s v="H"/>
    <s v="Rexburg Co."/>
    <s v="MC"/>
    <m/>
    <x v="126"/>
    <n v="6246"/>
    <n v="2327"/>
    <n v="3919"/>
    <n v="4129"/>
    <n v="-210"/>
    <n v="-696"/>
    <n v="1888"/>
    <n v="-0.11143131604226705"/>
  </r>
  <r>
    <x v="6"/>
    <x v="0"/>
    <s v="G"/>
    <s v="Panini Plus"/>
    <s v="Kimball"/>
    <m/>
    <x v="127"/>
    <n v="11539"/>
    <n v="5324"/>
    <n v="6214"/>
    <n v="6971"/>
    <n v="-756"/>
    <n v="-530"/>
    <n v="3810"/>
    <n v="-4.59311898778057E-2"/>
  </r>
  <r>
    <x v="6"/>
    <x v="0"/>
    <s v="F"/>
    <s v="Jewelry by Anson"/>
    <s v="MC"/>
    <m/>
    <x v="92"/>
    <n v="5467"/>
    <n v="508"/>
    <n v="4959"/>
    <n v="5090"/>
    <n v="-131"/>
    <n v="817"/>
    <n v="3319"/>
    <n v="0.14944210718858605"/>
  </r>
  <r>
    <x v="6"/>
    <x v="0"/>
    <s v="E"/>
    <s v="Grizzly Wear"/>
    <s v="MC"/>
    <m/>
    <x v="126"/>
    <n v="13990"/>
    <n v="8377"/>
    <n v="5613"/>
    <n v="6642"/>
    <n v="-1030"/>
    <n v="-816"/>
    <n v="2759"/>
    <n v="-5.8327376697641174E-2"/>
  </r>
  <r>
    <x v="6"/>
    <x v="0"/>
    <s v="D"/>
    <s v="Heaven Scent"/>
    <s v="MC"/>
    <m/>
    <x v="128"/>
    <n v="10610"/>
    <n v="3868"/>
    <n v="6742"/>
    <n v="5411"/>
    <n v="1331"/>
    <n v="890"/>
    <n v="3580"/>
    <n v="8.3883129123468431E-2"/>
  </r>
  <r>
    <x v="6"/>
    <x v="0"/>
    <s v="C"/>
    <s v="Mexi Rexi"/>
    <s v="STC"/>
    <m/>
    <x v="129"/>
    <n v="16508"/>
    <n v="7689"/>
    <n v="8819"/>
    <n v="10684"/>
    <n v="-1685"/>
    <n v="-1366"/>
    <n v="5842"/>
    <n v="-8.2747758662466683E-2"/>
  </r>
  <r>
    <x v="6"/>
    <x v="0"/>
    <s v="B"/>
    <s v="Bitez"/>
    <s v="Library Ampitheatre"/>
    <m/>
    <x v="130"/>
    <n v="6779"/>
    <n v="3751"/>
    <n v="3028"/>
    <n v="4163"/>
    <n v="-1135"/>
    <n v="-929"/>
    <n v="1088"/>
    <n v="-0.13704086148399469"/>
  </r>
  <r>
    <x v="6"/>
    <x v="0"/>
    <s v="A"/>
    <s v="The Lodge"/>
    <s v="MC"/>
    <m/>
    <x v="131"/>
    <n v="12696"/>
    <n v="3408"/>
    <n v="9288"/>
    <n v="5240"/>
    <n v="4048"/>
    <n v="2789"/>
    <n v="7501"/>
    <n v="0.21967548834278514"/>
  </r>
  <r>
    <x v="6"/>
    <x v="1"/>
    <s v="F"/>
    <s v="Fro Zone"/>
    <s v="Library Ampitheatre"/>
    <m/>
    <x v="132"/>
    <n v="6748"/>
    <n v="2772"/>
    <n v="3975"/>
    <n v="7649"/>
    <n v="-3674"/>
    <n v="-2732"/>
    <m/>
    <n v="-0.4048606994665086"/>
  </r>
  <r>
    <x v="6"/>
    <x v="1"/>
    <s v="E"/>
    <s v="Hot Diggity"/>
    <s v="Smith"/>
    <m/>
    <x v="73"/>
    <n v="20288"/>
    <n v="8197"/>
    <n v="12091"/>
    <n v="11657"/>
    <n v="434"/>
    <n v="239"/>
    <m/>
    <n v="1.1780362776025236E-2"/>
  </r>
  <r>
    <x v="6"/>
    <x v="1"/>
    <s v="D"/>
    <s v="Le Belle"/>
    <s v="MC"/>
    <m/>
    <x v="126"/>
    <n v="17489"/>
    <n v="5864"/>
    <n v="11348"/>
    <n v="6462"/>
    <n v="4886"/>
    <n v="3310"/>
    <m/>
    <n v="0.18926182171650752"/>
  </r>
  <r>
    <x v="6"/>
    <x v="1"/>
    <s v="C"/>
    <s v="Shortstop"/>
    <s v="Library Ampitheatre"/>
    <m/>
    <x v="133"/>
    <n v="10192"/>
    <n v="2708"/>
    <n v="7484"/>
    <n v="9802"/>
    <n v="-2317"/>
    <n v="-3159"/>
    <m/>
    <n v="-0.30994897959183676"/>
  </r>
  <r>
    <x v="6"/>
    <x v="1"/>
    <s v="B"/>
    <s v="Splash n'Dash"/>
    <s v="By the Stadium"/>
    <m/>
    <x v="33"/>
    <n v="13360"/>
    <n v="2326"/>
    <n v="11033"/>
    <n v="4853"/>
    <n v="6181"/>
    <n v="4285"/>
    <m/>
    <n v="0.32073353293413176"/>
  </r>
  <r>
    <x v="6"/>
    <x v="1"/>
    <s v="A"/>
    <s v="Tacontento"/>
    <s v="Kimball"/>
    <m/>
    <x v="115"/>
    <n v="16171"/>
    <n v="6340"/>
    <n v="9340"/>
    <n v="6704"/>
    <n v="2636"/>
    <n v="1779"/>
    <m/>
    <n v="0.11001174942798837"/>
  </r>
  <r>
    <x v="6"/>
    <x v="2"/>
    <s v="I"/>
    <m/>
    <s v="Online"/>
    <m/>
    <x v="83"/>
    <n v="2013"/>
    <n v="1639"/>
    <n v="374"/>
    <n v="210"/>
    <n v="164"/>
    <n v="36"/>
    <m/>
    <n v="1.7883755588673621E-2"/>
  </r>
  <r>
    <x v="6"/>
    <x v="2"/>
    <s v="H"/>
    <m/>
    <s v="Library Ampitheatre"/>
    <m/>
    <x v="134"/>
    <n v="808"/>
    <n v="0"/>
    <n v="808"/>
    <n v="458"/>
    <n v="350"/>
    <n v="-17"/>
    <m/>
    <n v="-2.1039603960396041E-2"/>
  </r>
  <r>
    <x v="6"/>
    <x v="2"/>
    <s v="G"/>
    <s v="Viking Rolls"/>
    <s v="Smith"/>
    <m/>
    <x v="89"/>
    <n v="16195"/>
    <n v="4536"/>
    <n v="11659"/>
    <n v="7312"/>
    <n v="4347"/>
    <n v="2917"/>
    <m/>
    <n v="0.18011732016054338"/>
  </r>
  <r>
    <x v="6"/>
    <x v="2"/>
    <s v="F"/>
    <m/>
    <s v="Ricks"/>
    <m/>
    <x v="135"/>
    <n v="8151"/>
    <n v="3388"/>
    <n v="4763"/>
    <n v="5642"/>
    <n v="-879"/>
    <n v="-785"/>
    <m/>
    <n v="-9.6307201570359463E-2"/>
  </r>
  <r>
    <x v="6"/>
    <x v="2"/>
    <s v="E"/>
    <s v="Roam"/>
    <s v="MC"/>
    <m/>
    <x v="126"/>
    <n v="14021"/>
    <n v="6392"/>
    <n v="7629"/>
    <n v="4217"/>
    <n v="3412"/>
    <n v="2282"/>
    <m/>
    <n v="0.16275586620069896"/>
  </r>
  <r>
    <x v="6"/>
    <x v="2"/>
    <s v="D"/>
    <m/>
    <s v="MC"/>
    <m/>
    <x v="126"/>
    <n v="8464"/>
    <n v="5435"/>
    <n v="3029"/>
    <n v="2702"/>
    <n v="327"/>
    <n v="151"/>
    <m/>
    <n v="1.7840264650283554E-2"/>
  </r>
  <r>
    <x v="6"/>
    <x v="2"/>
    <s v="C"/>
    <m/>
    <s v="Library Ampitheatre"/>
    <m/>
    <x v="136"/>
    <n v="18509"/>
    <n v="9200"/>
    <n v="9309"/>
    <n v="11348"/>
    <n v="-2039"/>
    <n v="-1474"/>
    <m/>
    <n v="-7.9636933383759254E-2"/>
  </r>
  <r>
    <x v="6"/>
    <x v="2"/>
    <s v="B"/>
    <m/>
    <s v="MC"/>
    <m/>
    <x v="137"/>
    <n v="11552"/>
    <n v="5400"/>
    <n v="6152"/>
    <n v="5099"/>
    <n v="1053"/>
    <n v="677"/>
    <m/>
    <n v="5.8604570637119116E-2"/>
  </r>
  <r>
    <x v="6"/>
    <x v="2"/>
    <s v="A"/>
    <m/>
    <s v="Kimball"/>
    <m/>
    <x v="138"/>
    <n v="20480"/>
    <n v="10072"/>
    <n v="10408"/>
    <n v="8000"/>
    <n v="7795"/>
    <n v="1629"/>
    <m/>
    <n v="7.9541015625000003E-2"/>
  </r>
  <r>
    <x v="7"/>
    <x v="0"/>
    <s v="H"/>
    <s v="Look Good Feel Good"/>
    <s v="MC"/>
    <m/>
    <x v="139"/>
    <m/>
    <m/>
    <m/>
    <m/>
    <m/>
    <m/>
    <m/>
    <n v="0"/>
  </r>
  <r>
    <x v="7"/>
    <x v="0"/>
    <s v="G"/>
    <s v="Chamaco"/>
    <s v="Ricks"/>
    <m/>
    <x v="140"/>
    <m/>
    <m/>
    <m/>
    <m/>
    <m/>
    <m/>
    <m/>
    <n v="0"/>
  </r>
  <r>
    <x v="7"/>
    <x v="0"/>
    <s v="F"/>
    <s v="Spud Nation"/>
    <s v="Smith"/>
    <m/>
    <x v="141"/>
    <m/>
    <m/>
    <m/>
    <m/>
    <m/>
    <m/>
    <m/>
    <n v="0"/>
  </r>
  <r>
    <x v="7"/>
    <x v="0"/>
    <s v="E"/>
    <s v="Date Box"/>
    <s v="Online"/>
    <m/>
    <x v="142"/>
    <m/>
    <m/>
    <m/>
    <m/>
    <m/>
    <m/>
    <m/>
    <n v="0"/>
  </r>
  <r>
    <x v="7"/>
    <x v="0"/>
    <s v="D"/>
    <s v="Rep T"/>
    <s v="MC"/>
    <m/>
    <x v="126"/>
    <m/>
    <m/>
    <m/>
    <m/>
    <m/>
    <m/>
    <m/>
    <n v="0"/>
  </r>
  <r>
    <x v="7"/>
    <x v="0"/>
    <s v="C"/>
    <s v="Impressions"/>
    <s v="MC"/>
    <m/>
    <x v="126"/>
    <m/>
    <m/>
    <m/>
    <m/>
    <m/>
    <m/>
    <m/>
    <n v="0"/>
  </r>
  <r>
    <x v="7"/>
    <x v="0"/>
    <s v="B"/>
    <s v="Sips"/>
    <s v="Library Ampitheatre"/>
    <m/>
    <x v="142"/>
    <m/>
    <m/>
    <m/>
    <m/>
    <m/>
    <m/>
    <m/>
    <n v="0"/>
  </r>
  <r>
    <x v="7"/>
    <x v="0"/>
    <s v="A"/>
    <s v="Athens Grill"/>
    <s v="Kimball"/>
    <m/>
    <x v="142"/>
    <m/>
    <m/>
    <m/>
    <m/>
    <m/>
    <m/>
    <m/>
    <n v="0"/>
  </r>
  <r>
    <x v="7"/>
    <x v="1"/>
    <s v="G"/>
    <m/>
    <m/>
    <m/>
    <x v="142"/>
    <m/>
    <m/>
    <m/>
    <m/>
    <m/>
    <m/>
    <m/>
    <n v="0"/>
  </r>
  <r>
    <x v="7"/>
    <x v="1"/>
    <s v="F"/>
    <m/>
    <m/>
    <m/>
    <x v="142"/>
    <m/>
    <m/>
    <m/>
    <m/>
    <m/>
    <m/>
    <m/>
    <n v="0"/>
  </r>
  <r>
    <x v="7"/>
    <x v="1"/>
    <s v="E"/>
    <s v="Toasties"/>
    <m/>
    <m/>
    <x v="143"/>
    <n v="16625"/>
    <n v="8353"/>
    <n v="8272"/>
    <n v="1809"/>
    <n v="6462"/>
    <n v="6462"/>
    <m/>
    <n v="0.38869172932330825"/>
  </r>
  <r>
    <x v="7"/>
    <x v="1"/>
    <s v="D"/>
    <m/>
    <m/>
    <m/>
    <x v="142"/>
    <m/>
    <m/>
    <m/>
    <m/>
    <m/>
    <m/>
    <m/>
    <n v="0"/>
  </r>
  <r>
    <x v="7"/>
    <x v="1"/>
    <s v="C"/>
    <m/>
    <m/>
    <m/>
    <x v="142"/>
    <m/>
    <m/>
    <m/>
    <m/>
    <m/>
    <m/>
    <m/>
    <n v="0"/>
  </r>
  <r>
    <x v="7"/>
    <x v="1"/>
    <s v="B"/>
    <m/>
    <m/>
    <m/>
    <x v="142"/>
    <m/>
    <m/>
    <m/>
    <m/>
    <m/>
    <m/>
    <m/>
    <n v="0"/>
  </r>
  <r>
    <x v="7"/>
    <x v="1"/>
    <s v="A"/>
    <m/>
    <m/>
    <m/>
    <x v="142"/>
    <m/>
    <m/>
    <m/>
    <m/>
    <m/>
    <m/>
    <m/>
    <n v="0"/>
  </r>
  <r>
    <x v="7"/>
    <x v="2"/>
    <s v="F"/>
    <s v="Johnny's Diner"/>
    <s v="Clark"/>
    <m/>
    <x v="144"/>
    <n v="5135"/>
    <m/>
    <m/>
    <m/>
    <m/>
    <n v="2411"/>
    <m/>
    <n v="0.46952288218111005"/>
  </r>
  <r>
    <x v="7"/>
    <x v="2"/>
    <s v="E"/>
    <m/>
    <m/>
    <m/>
    <x v="142"/>
    <m/>
    <m/>
    <m/>
    <m/>
    <m/>
    <m/>
    <m/>
    <n v="0"/>
  </r>
  <r>
    <x v="7"/>
    <x v="2"/>
    <s v="D"/>
    <s v="Shave and Shine"/>
    <s v="MC"/>
    <m/>
    <x v="56"/>
    <n v="13589"/>
    <n v="5910"/>
    <n v="7679"/>
    <n v="5909"/>
    <n v="1770"/>
    <n v="1770"/>
    <m/>
    <n v="0.13025241003753035"/>
  </r>
  <r>
    <x v="7"/>
    <x v="2"/>
    <s v="C"/>
    <s v="Royal"/>
    <s v="MC"/>
    <m/>
    <x v="56"/>
    <n v="11868"/>
    <n v="5993"/>
    <n v="5874"/>
    <n v="1322"/>
    <n v="4543"/>
    <n v="3861"/>
    <n v="1459"/>
    <n v="0.32532861476238623"/>
  </r>
  <r>
    <x v="7"/>
    <x v="2"/>
    <s v="B"/>
    <s v="43 North"/>
    <s v="Library Ampitheatre"/>
    <m/>
    <x v="145"/>
    <n v="9718"/>
    <n v="3778"/>
    <n v="5940"/>
    <n v="13443"/>
    <n v="-7502"/>
    <n v="-7502"/>
    <n v="2363"/>
    <n v="-0.77196954105783078"/>
  </r>
  <r>
    <x v="7"/>
    <x v="2"/>
    <s v="A"/>
    <s v="Teton Tacos"/>
    <s v="Smith"/>
    <m/>
    <x v="115"/>
    <m/>
    <m/>
    <m/>
    <m/>
    <m/>
    <m/>
    <m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9">
  <r>
    <n v="2022"/>
    <s v="Fall"/>
    <s v="H"/>
    <s v="Scrubalicious"/>
    <x v="0"/>
    <n v="35"/>
    <s v="Homemade body and lip scrubs"/>
    <n v="9031"/>
    <n v="2378"/>
    <n v="6653"/>
    <n v="4337"/>
    <n v="2276"/>
    <n v="1513"/>
    <n v="2026"/>
    <n v="0.16753404938545011"/>
  </r>
  <r>
    <n v="2022"/>
    <s v="Fall"/>
    <s v="G"/>
    <s v="Twisted Pretzels"/>
    <x v="0"/>
    <n v="35"/>
    <s v="Soft Pretzels"/>
    <n v="5796"/>
    <n v="1479"/>
    <n v="4317"/>
    <n v="3714"/>
    <n v="602"/>
    <n v="270"/>
    <n v="1"/>
    <n v="4.6583850931677016E-2"/>
  </r>
  <r>
    <n v="2022"/>
    <s v="Fall"/>
    <s v="F"/>
    <s v="FryNight"/>
    <x v="1"/>
    <n v="100"/>
    <s v="Loaded Fries"/>
    <n v="8011"/>
    <n v="3037"/>
    <n v="4974"/>
    <n v="4385"/>
    <n v="589"/>
    <n v="299"/>
    <n v="253"/>
    <n v="3.7323679940082385E-2"/>
  </r>
  <r>
    <n v="2022"/>
    <s v="Fall"/>
    <s v="E"/>
    <s v="Banded Together"/>
    <x v="0"/>
    <n v="25"/>
    <s v="Spoon Rings/necklaces/jewelery"/>
    <n v="8326"/>
    <n v="1188"/>
    <n v="7138"/>
    <n v="4068"/>
    <n v="3069"/>
    <n v="2174"/>
    <n v="2997"/>
    <n v="0.261109776603411"/>
  </r>
  <r>
    <n v="2022"/>
    <s v="Fall"/>
    <s v="D"/>
    <s v="The Cookie Jar"/>
    <x v="2"/>
    <n v="25"/>
    <s v="Pre-made cookie mixes"/>
    <n v="6051"/>
    <n v="2820"/>
    <n v="3230"/>
    <n v="2427"/>
    <n v="803"/>
    <n v="480"/>
    <n v="523"/>
    <n v="7.932573128408528E-2"/>
  </r>
  <r>
    <n v="2022"/>
    <s v="Fall"/>
    <s v="C"/>
    <s v="Pretzel Parlor"/>
    <x v="2"/>
    <s v="25/35"/>
    <s v="Covered pretzels(hard) sticks"/>
    <n v="8107"/>
    <n v="2621"/>
    <n v="5486"/>
    <n v="2938"/>
    <n v="2549"/>
    <n v="1727"/>
    <n v="2499"/>
    <n v="0.2130257801899593"/>
  </r>
  <r>
    <n v="2022"/>
    <s v="Fall"/>
    <s v="B"/>
    <s v="DaniCakes"/>
    <x v="3"/>
    <n v="150"/>
    <s v="Danish pancakes"/>
    <n v="8953"/>
    <n v="1511"/>
    <n v="7442"/>
    <n v="6064"/>
    <n v="1378"/>
    <n v="830"/>
    <n v="993"/>
    <n v="9.2706355411593874E-2"/>
  </r>
  <r>
    <n v="2022"/>
    <s v="Fall"/>
    <s v="A"/>
    <s v="Scratch"/>
    <x v="0"/>
    <s v="25/35"/>
    <s v="Date cards/packs"/>
    <n v="2342"/>
    <n v="637"/>
    <n v="1705"/>
    <n v="2292"/>
    <n v="-586"/>
    <n v="-486"/>
    <n v="587"/>
    <n v="-0.20751494449188729"/>
  </r>
  <r>
    <n v="2022"/>
    <s v="Spring"/>
    <s v="H"/>
    <s v="N'ice"/>
    <x v="2"/>
    <n v="25"/>
    <s v="Shaved Ice "/>
    <n v="7603"/>
    <n v="2011"/>
    <n v="5592"/>
    <n v="3963"/>
    <n v="1665"/>
    <n v="1108"/>
    <n v="1610"/>
    <n v="0.14573194791529659"/>
  </r>
  <r>
    <n v="2022"/>
    <s v="Spring"/>
    <s v="G"/>
    <s v="Mad Dawg"/>
    <x v="3"/>
    <n v="35"/>
    <s v="Hot Dogs "/>
    <n v="12755"/>
    <n v="4545"/>
    <n v="8210"/>
    <n v="4718"/>
    <n v="3492"/>
    <n v="2310"/>
    <n v="3300"/>
    <n v="0.18110544884359076"/>
  </r>
  <r>
    <n v="2022"/>
    <s v="Spring"/>
    <s v="F"/>
    <s v="Carnival Cravings"/>
    <x v="2"/>
    <n v="25"/>
    <s v="Cotton Candy &amp; Carnival Games"/>
    <n v="2936"/>
    <n v="537"/>
    <n v="2399"/>
    <n v="2307"/>
    <n v="92"/>
    <n v="261"/>
    <n v="399"/>
    <n v="8.8896457765667569E-2"/>
  </r>
  <r>
    <n v="2022"/>
    <s v="Spring"/>
    <s v="E"/>
    <s v="Churro a la Rex"/>
    <x v="2"/>
    <n v="25"/>
    <s v="Churros"/>
    <n v="5497"/>
    <n v="2259"/>
    <n v="3238"/>
    <n v="3401"/>
    <n v="-163"/>
    <n v="-156"/>
    <n v="7"/>
    <n v="-2.837911588138985E-2"/>
  </r>
  <r>
    <n v="2022"/>
    <s v="Spring"/>
    <s v="D"/>
    <s v="Super Freeze"/>
    <x v="2"/>
    <n v="25"/>
    <s v="Freeze dried candy and fruit"/>
    <n v="5576"/>
    <n v="1670"/>
    <n v="3906"/>
    <n v="3606"/>
    <n v="300"/>
    <n v="102"/>
    <n v="146"/>
    <n v="1.8292682926829267E-2"/>
  </r>
  <r>
    <n v="2022"/>
    <s v="Spring"/>
    <s v="C"/>
    <s v="Road Bum"/>
    <x v="2"/>
    <n v="25"/>
    <s v="Tie-dye Shirts and Hats "/>
    <n v="4064"/>
    <n v="2020"/>
    <n v="2044"/>
    <n v="2271"/>
    <n v="-146"/>
    <n v="-187"/>
    <n v="21"/>
    <n v="-4.6013779527559057E-2"/>
  </r>
  <r>
    <n v="2022"/>
    <s v="Spring"/>
    <s v="B"/>
    <s v="Woofles"/>
    <x v="4"/>
    <s v="25/35"/>
    <s v="Waffles"/>
    <n v="2189"/>
    <n v="615"/>
    <n v="1574"/>
    <n v="2353"/>
    <n v="-779"/>
    <n v="-571"/>
    <n v="0"/>
    <n v="-0.26084970306075833"/>
  </r>
  <r>
    <n v="2022"/>
    <s v="Spring"/>
    <s v="A"/>
    <s v="Cardway to Heaven"/>
    <x v="2"/>
    <n v="25"/>
    <s v="Rexburg themed card games"/>
    <n v="6198"/>
    <n v="3643"/>
    <n v="2555"/>
    <n v="2151"/>
    <n v="404"/>
    <n v="170"/>
    <n v="218"/>
    <n v="2.7428202646014845E-2"/>
  </r>
  <r>
    <n v="2022"/>
    <s v="Winter"/>
    <s v="H"/>
    <s v="The Myx"/>
    <x v="5"/>
    <n v="35"/>
    <s v="Trail mix &amp; power bites"/>
    <n v="2580"/>
    <n v="689"/>
    <n v="1891"/>
    <n v="2721"/>
    <n v="-830"/>
    <n v="-648"/>
    <n v="0"/>
    <n v="-0.25116279069767444"/>
  </r>
  <r>
    <n v="2022"/>
    <s v="Winter"/>
    <s v="G"/>
    <s v="Splash"/>
    <x v="6"/>
    <n v="35"/>
    <s v="Tie dye socks"/>
    <n v="9936"/>
    <n v="3626"/>
    <n v="6310"/>
    <n v="5185"/>
    <n v="1125"/>
    <n v="698"/>
    <n v="1056"/>
    <n v="7.0249597423510474E-2"/>
  </r>
  <r>
    <n v="2022"/>
    <s v="Winter"/>
    <s v="F"/>
    <s v="The Teahive"/>
    <x v="2"/>
    <s v="35 (25 + 10 for tent)"/>
    <s v="Tea and protein bytes"/>
    <n v="6380"/>
    <n v="1935"/>
    <n v="4444"/>
    <n v="4537"/>
    <n v="-93"/>
    <n v="-135"/>
    <n v="0"/>
    <n v="-2.115987460815047E-2"/>
  </r>
  <r>
    <n v="2022"/>
    <s v="Winter"/>
    <s v="E"/>
    <s v="208 Stitch"/>
    <x v="6"/>
    <n v="35"/>
    <s v="Water bottle coozie"/>
    <n v="6030"/>
    <n v="2469"/>
    <n v="3562"/>
    <n v="3178"/>
    <n v="383"/>
    <n v="162"/>
    <n v="334"/>
    <n v="2.6865671641791045E-2"/>
  </r>
  <r>
    <n v="2022"/>
    <s v="Winter"/>
    <s v="D"/>
    <s v="Chap'd"/>
    <x v="0"/>
    <n v="35"/>
    <s v="Chapstick"/>
    <n v="5936"/>
    <n v="1209"/>
    <n v="4538"/>
    <n v="2930"/>
    <n v="1608"/>
    <n v="1053"/>
    <n v="877"/>
    <n v="0.17739218328840969"/>
  </r>
  <r>
    <n v="2022"/>
    <s v="Winter"/>
    <s v="C"/>
    <s v="Stroop There It Is"/>
    <x v="5"/>
    <m/>
    <s v="Stroopwafels"/>
    <n v="14393"/>
    <n v="2750"/>
    <n v="11643"/>
    <n v="8257"/>
    <n v="3386"/>
    <n v="2868"/>
    <n v="4375"/>
    <n v="0.19926353088306817"/>
  </r>
  <r>
    <n v="2022"/>
    <s v="Winter"/>
    <s v="B"/>
    <s v="Cheese Louise"/>
    <x v="3"/>
    <n v="35"/>
    <s v="Mac n Cheese"/>
    <n v="16664"/>
    <n v="5326"/>
    <n v="11337"/>
    <n v="6910"/>
    <n v="4428"/>
    <n v="3043"/>
    <n v="4464"/>
    <n v="0.18260921747479597"/>
  </r>
  <r>
    <n v="2022"/>
    <s v="Winter"/>
    <s v="A"/>
    <s v="The Apricot Tree"/>
    <x v="7"/>
    <m/>
    <s v="Popcorn &amp; Pretzels"/>
    <n v="3870"/>
    <n v="1468"/>
    <n v="2402"/>
    <n v="3118"/>
    <n v="-715"/>
    <n v="-625"/>
    <n v="140"/>
    <n v="-0.16149870801033592"/>
  </r>
  <r>
    <n v="2021"/>
    <s v="Fall"/>
    <s v="H"/>
    <s v="Outlandish"/>
    <x v="3"/>
    <n v="35"/>
    <s v="Customizable Hoodies"/>
    <n v="9026.7199999999993"/>
    <n v="6955"/>
    <n v="5607"/>
    <n v="3852"/>
    <n v="1755"/>
    <n v="1240"/>
    <n v="1049"/>
    <n v="0.13736994168424413"/>
  </r>
  <r>
    <n v="2021"/>
    <s v="Fall"/>
    <s v="G"/>
    <s v="Parks n Rex"/>
    <x v="8"/>
    <n v="35"/>
    <s v="National Parks T-shirts"/>
    <n v="9146.2099999999991"/>
    <n v="3132"/>
    <n v="6018"/>
    <n v="4334"/>
    <n v="1683"/>
    <n v="1061"/>
    <n v="1863"/>
    <n v="0.11600433403562788"/>
  </r>
  <r>
    <n v="2021"/>
    <s v="Fall"/>
    <s v="F"/>
    <s v="Cozy Co"/>
    <x v="2"/>
    <n v="25"/>
    <s v="Handwarmers"/>
    <n v="3521.97"/>
    <n v="912"/>
    <n v="4371"/>
    <n v="3584"/>
    <n v="787"/>
    <n v="456"/>
    <n v="95"/>
    <n v="0.12947299380744301"/>
  </r>
  <r>
    <n v="2021"/>
    <s v="Fall"/>
    <s v="E"/>
    <s v="Remember When"/>
    <x v="9"/>
    <n v="25"/>
    <s v="Adventure Book"/>
    <n v="2506.7399999999998"/>
    <n v="1017"/>
    <n v="2199"/>
    <n v="2802"/>
    <n v="-602"/>
    <n v="-492"/>
    <n v="436"/>
    <n v="-0.19627085377821396"/>
  </r>
  <r>
    <n v="2021"/>
    <s v="Fall"/>
    <s v="D"/>
    <s v="FitCheck Apparel "/>
    <x v="2"/>
    <n v="25"/>
    <s v="Tshirts with Rexburg sayings"/>
    <n v="4700"/>
    <n v="2516"/>
    <n v="2795"/>
    <n v="3905"/>
    <n v="-1110"/>
    <n v="-925"/>
    <n v="1115"/>
    <n v="-0.19680851063829788"/>
  </r>
  <r>
    <n v="2021"/>
    <s v="Fall"/>
    <s v="C"/>
    <s v="Spirit of Wix"/>
    <x v="9"/>
    <n v="35"/>
    <s v="Candles"/>
    <n v="10510.41"/>
    <n v="5013"/>
    <n v="7795"/>
    <n v="4285"/>
    <n v="3510"/>
    <n v="1970"/>
    <n v="2178"/>
    <n v="0.18743322096854453"/>
  </r>
  <r>
    <n v="2021"/>
    <s v="Fall"/>
    <s v="B"/>
    <s v="Waypoint"/>
    <x v="2"/>
    <n v="25"/>
    <s v="Hoodies of various places"/>
    <n v="7759.39"/>
    <n v="3769"/>
    <n v="5110"/>
    <n v="3902"/>
    <n v="1207"/>
    <n v="703"/>
    <n v="629"/>
    <n v="9.0599905404935177E-2"/>
  </r>
  <r>
    <n v="2021"/>
    <s v="Fall"/>
    <s v="A"/>
    <s v="Funky Monkey Thrift Shop"/>
    <x v="2"/>
    <n v="25"/>
    <s v="Selling donated clothes"/>
    <n v="2153.37"/>
    <n v="285"/>
    <n v="3334"/>
    <n v="3055"/>
    <n v="279"/>
    <n v="106"/>
    <n v="-25"/>
    <n v="4.9225167992495489E-2"/>
  </r>
  <r>
    <n v="2021"/>
    <s v="Spring"/>
    <s v="H"/>
    <s v="Dunes and Co"/>
    <x v="9"/>
    <n v="35"/>
    <s v="Sand Dyed Tees"/>
    <n v="7124"/>
    <n v="2872"/>
    <n v="4252"/>
    <n v="3172"/>
    <n v="1079"/>
    <n v="655"/>
    <n v="935"/>
    <n v="9.1942728804042667E-2"/>
  </r>
  <r>
    <n v="2021"/>
    <s v="Spring"/>
    <s v="G"/>
    <s v="Karate Wash"/>
    <x v="9"/>
    <n v="35"/>
    <s v="Car Wash"/>
    <n v="5674"/>
    <n v="362"/>
    <n v="5288"/>
    <n v="5255"/>
    <n v="33"/>
    <n v="-20"/>
    <n v="1574"/>
    <n v="-3.5248501938667607E-3"/>
  </r>
  <r>
    <n v="2021"/>
    <s v="Spring"/>
    <s v="F"/>
    <s v="Buzzle"/>
    <x v="9"/>
    <n v="35"/>
    <s v="Bath Bombs"/>
    <n v="1446"/>
    <n v="249"/>
    <n v="1196"/>
    <n v="1894"/>
    <n v="-697"/>
    <n v="-435"/>
    <n v="280"/>
    <n v="-0.30082987551867219"/>
  </r>
  <r>
    <n v="2021"/>
    <s v="Spring"/>
    <s v="E"/>
    <s v="Sewly"/>
    <x v="9"/>
    <n v="35"/>
    <s v="Scrunchies"/>
    <n v="2151"/>
    <n v="845"/>
    <n v="1306"/>
    <n v="1768"/>
    <n v="-462"/>
    <n v="-419"/>
    <n v="1002"/>
    <n v="-0.19479311947931194"/>
  </r>
  <r>
    <n v="2021"/>
    <s v="Spring"/>
    <s v="D"/>
    <s v="Grungy Goat"/>
    <x v="9"/>
    <n v="35"/>
    <s v="Bleached Tees"/>
    <n v="6697"/>
    <n v="1914"/>
    <n v="4783"/>
    <n v="3926"/>
    <n v="857"/>
    <n v="603"/>
    <n v="746"/>
    <n v="9.0040316559653583E-2"/>
  </r>
  <r>
    <n v="2021"/>
    <s v="Spring"/>
    <s v="C"/>
    <s v="EZ Breezy"/>
    <x v="10"/>
    <m/>
    <s v="Summer Rental "/>
    <n v="291"/>
    <n v="0"/>
    <n v="291"/>
    <n v="1109"/>
    <n v="-819"/>
    <n v="-909"/>
    <n v="419"/>
    <n v="-3.1237113402061856"/>
  </r>
  <r>
    <n v="2021"/>
    <s v="Spring"/>
    <s v="B"/>
    <s v="R Home Stickers"/>
    <x v="10"/>
    <n v="35"/>
    <s v="Stickers"/>
    <n v="657"/>
    <n v="377"/>
    <n v="279"/>
    <n v="626"/>
    <n v="-346"/>
    <n v="-287"/>
    <n v="100"/>
    <n v="-0.43683409436834092"/>
  </r>
  <r>
    <n v="2021"/>
    <s v="Spring"/>
    <s v="A"/>
    <s v="Paxil"/>
    <x v="10"/>
    <n v="35"/>
    <s v="Mexican Woven Fabrics"/>
    <n v="2841"/>
    <n v="1965"/>
    <n v="877"/>
    <n v="1701"/>
    <n v="-825"/>
    <n v="-697"/>
    <n v="854"/>
    <n v="-0.24533614924322422"/>
  </r>
  <r>
    <n v="2021"/>
    <s v="Winter"/>
    <s v="H"/>
    <s v="The Hunt"/>
    <x v="9"/>
    <n v="35"/>
    <s v="Scavenger Hunts"/>
    <n v="4493"/>
    <n v="145"/>
    <n v="4348"/>
    <n v="2478"/>
    <n v="1869"/>
    <n v="1609"/>
    <n v="2203"/>
    <n v="0.35811261963053637"/>
  </r>
  <r>
    <n v="2021"/>
    <s v="Winter"/>
    <s v="G"/>
    <s v="Social Survival"/>
    <x v="9"/>
    <n v="35"/>
    <s v="Date Night Kits"/>
    <n v="2712"/>
    <n v="1295"/>
    <n v="1417"/>
    <n v="1786"/>
    <n v="-369"/>
    <n v="-404"/>
    <n v="0"/>
    <n v="-0.14896755162241887"/>
  </r>
  <r>
    <n v="2021"/>
    <s v="Winter"/>
    <s v="F"/>
    <s v="Bel Arome"/>
    <x v="9"/>
    <n v="35"/>
    <s v="Candels"/>
    <n v="2814"/>
    <n v="1335"/>
    <n v="1479"/>
    <n v="2102"/>
    <n v="-624"/>
    <n v="-537"/>
    <n v="613"/>
    <n v="-0.1908315565031983"/>
  </r>
  <r>
    <n v="2021"/>
    <s v="Winter"/>
    <s v="E"/>
    <s v="Nomad"/>
    <x v="9"/>
    <n v="35"/>
    <s v="Embroidered Beanies"/>
    <n v="4695"/>
    <n v="1784"/>
    <n v="2912"/>
    <n v="2470"/>
    <n v="442"/>
    <n v="184"/>
    <n v="192"/>
    <n v="3.9190628328008521E-2"/>
  </r>
  <r>
    <n v="2021"/>
    <s v="Winter"/>
    <s v="D"/>
    <s v="Cherie Jewlery Co"/>
    <x v="9"/>
    <n v="35"/>
    <s v="Resin Jewlery"/>
    <n v="2319"/>
    <n v="364"/>
    <n v="1954"/>
    <n v="1872"/>
    <n v="83"/>
    <n v="1044"/>
    <n v="1275"/>
    <n v="0.45019404915912031"/>
  </r>
  <r>
    <n v="2021"/>
    <s v="Winter"/>
    <s v="C"/>
    <s v="Rexburg Life"/>
    <x v="10"/>
    <m/>
    <s v="Website for housing options "/>
    <n v="476"/>
    <n v="0"/>
    <n v="476"/>
    <n v="1301"/>
    <n v="-825"/>
    <n v="432"/>
    <n v="815"/>
    <n v="0.90756302521008403"/>
  </r>
  <r>
    <n v="2021"/>
    <s v="Winter"/>
    <s v="B"/>
    <s v="BeanPatch"/>
    <x v="10"/>
    <m/>
    <s v="Patch Beanies"/>
    <n v="9644"/>
    <n v="4864"/>
    <n v="4780"/>
    <n v="1717"/>
    <n v="3063"/>
    <n v="2105"/>
    <n v="2535"/>
    <n v="0.21827042720862713"/>
  </r>
  <r>
    <n v="2021"/>
    <s v="Winter"/>
    <s v="A"/>
    <s v="Ella Rain Jewelry"/>
    <x v="10"/>
    <m/>
    <s v="Metal Jewlery"/>
    <n v="2602"/>
    <n v="868"/>
    <n v="1734"/>
    <n v="1179"/>
    <n v="555"/>
    <n v="293"/>
    <n v="396"/>
    <n v="0.11260568793235973"/>
  </r>
  <r>
    <n v="2020"/>
    <s v="Fall"/>
    <s v="H"/>
    <s v="Gator Gains"/>
    <x v="9"/>
    <n v="35"/>
    <s v="Gator Masks"/>
    <n v="3981"/>
    <n v="1609"/>
    <n v="2372"/>
    <n v="2343"/>
    <n v="29"/>
    <n v="-29"/>
    <n v="-325"/>
    <n v="-7.2846018588294398E-3"/>
  </r>
  <r>
    <n v="2020"/>
    <s v="Fall"/>
    <s v="G"/>
    <s v="Mind Full"/>
    <x v="9"/>
    <n v="35"/>
    <s v="StLibrary Ampitheatreed Jewelry"/>
    <n v="4126"/>
    <n v="874"/>
    <n v="3159"/>
    <n v="2043"/>
    <n v="1116"/>
    <n v="714"/>
    <n v="966"/>
    <n v="0.17304895782840524"/>
  </r>
  <r>
    <n v="2020"/>
    <s v="Fall"/>
    <s v="F"/>
    <s v="Groovy Mama"/>
    <x v="9"/>
    <n v="35"/>
    <s v="Tie-dye Apparel"/>
    <n v="7189"/>
    <n v="3909"/>
    <n v="3280"/>
    <n v="4538"/>
    <n v="-1258"/>
    <n v="-988"/>
    <n v="289"/>
    <n v="-0.13743218806509946"/>
  </r>
  <r>
    <n v="2020"/>
    <s v="Fall"/>
    <s v="E"/>
    <s v="Golden Teton Clay"/>
    <x v="9"/>
    <n v="35"/>
    <s v="Clay jewelry"/>
    <n v="4140"/>
    <n v="198"/>
    <n v="3347"/>
    <n v="2342"/>
    <n v="1005"/>
    <n v="648"/>
    <n v="1058"/>
    <n v="0.15652173913043479"/>
  </r>
  <r>
    <n v="2020"/>
    <s v="Fall"/>
    <s v="D"/>
    <s v="Hidden  Gems"/>
    <x v="9"/>
    <n v="35"/>
    <s v="Adventure Packs (Cards with Locations)"/>
    <n v="4385"/>
    <n v="807"/>
    <n v="3578"/>
    <n v="3251"/>
    <n v="328"/>
    <n v="179"/>
    <n v="295"/>
    <n v="4.0820980615735462E-2"/>
  </r>
  <r>
    <n v="2020"/>
    <s v="Fall"/>
    <s v="C"/>
    <s v="Fibra Bands"/>
    <x v="10"/>
    <m/>
    <s v="Wrist Bands w/ Functions"/>
    <n v="2082"/>
    <n v="1126"/>
    <n v="976"/>
    <n v="2603"/>
    <n v="-1627"/>
    <n v="-1246"/>
    <n v="-484"/>
    <n v="-0.59846301633045151"/>
  </r>
  <r>
    <n v="2020"/>
    <s v="Fall"/>
    <s v="B"/>
    <s v="Alpacka Box"/>
    <x v="10"/>
    <m/>
    <s v="Custom Gift Boxes"/>
    <n v="4872"/>
    <n v="2584"/>
    <n v="2288"/>
    <n v="2013"/>
    <n v="275"/>
    <n v="81"/>
    <n v="60"/>
    <n v="1.6625615763546799E-2"/>
  </r>
  <r>
    <n v="2020"/>
    <s v="Fall"/>
    <s v="A"/>
    <s v="Game Box"/>
    <x v="10"/>
    <m/>
    <s v="Card Games"/>
    <n v="2570"/>
    <n v="1260"/>
    <n v="1310"/>
    <n v="1345"/>
    <n v="-35"/>
    <n v="-10"/>
    <n v="1052"/>
    <n v="-3.8910505836575876E-3"/>
  </r>
  <r>
    <n v="2020"/>
    <s v="Spring"/>
    <s v="A"/>
    <s v="Rexburg Roots"/>
    <x v="10"/>
    <n v="7"/>
    <s v="Apparel"/>
    <n v="3436"/>
    <n v="2533"/>
    <n v="904"/>
    <n v="2740"/>
    <n v="-1836"/>
    <n v="-1430"/>
    <n v="-27"/>
    <n v="-0.41618160651920838"/>
  </r>
  <r>
    <n v="2020"/>
    <s v="Winter"/>
    <s v="I"/>
    <s v="Taco Town"/>
    <x v="11"/>
    <n v="75"/>
    <s v="Street tacos"/>
    <n v="3208"/>
    <n v="1936"/>
    <n v="1676"/>
    <n v="3303"/>
    <n v="-1627"/>
    <n v="-1198"/>
    <n v="515"/>
    <n v="-0.37344139650872821"/>
  </r>
  <r>
    <n v="2020"/>
    <s v="Winter"/>
    <s v="H"/>
    <s v="Uli"/>
    <x v="1"/>
    <n v="35"/>
    <s v="Spoon/coin rings"/>
    <n v="4103"/>
    <n v="423"/>
    <n v="3680"/>
    <n v="3394"/>
    <n v="286"/>
    <n v="162"/>
    <n v="1900"/>
    <n v="3.9483304898854495E-2"/>
  </r>
  <r>
    <n v="2020"/>
    <s v="Winter"/>
    <s v="G"/>
    <s v="Sweet Life"/>
    <x v="1"/>
    <n v="35"/>
    <s v="Confections"/>
    <n v="1894"/>
    <n v="897"/>
    <n v="997"/>
    <n v="2092"/>
    <n v="-1095"/>
    <n v="-809"/>
    <n v="909"/>
    <n v="-0.42713833157338965"/>
  </r>
  <r>
    <n v="2020"/>
    <s v="Winter"/>
    <s v="F"/>
    <s v="Layers"/>
    <x v="1"/>
    <n v="35"/>
    <s v="Wood jewelry"/>
    <n v="2737"/>
    <n v="350"/>
    <n v="2387"/>
    <n v="2001"/>
    <n v="386"/>
    <n v="242"/>
    <n v="1740"/>
    <n v="8.8417975886006583E-2"/>
  </r>
  <r>
    <n v="2020"/>
    <s v="Winter"/>
    <s v="E"/>
    <s v="Cozy's"/>
    <x v="1"/>
    <n v="35"/>
    <s v="Hot chocolate &amp; other"/>
    <n v="2838"/>
    <n v="582"/>
    <n v="2256"/>
    <n v="2848"/>
    <n v="-592"/>
    <n v="-449"/>
    <n v="712"/>
    <n v="-0.15821000704721636"/>
  </r>
  <r>
    <n v="2020"/>
    <s v="Winter"/>
    <s v="D"/>
    <s v="Sweet Traditions"/>
    <x v="1"/>
    <n v="35"/>
    <s v="Recipe jars"/>
    <n v="1604"/>
    <n v="1760"/>
    <n v="-157"/>
    <n v="1057"/>
    <n v="-1214"/>
    <n v="-895"/>
    <n v="807"/>
    <n v="-0.55798004987531169"/>
  </r>
  <r>
    <n v="2020"/>
    <s v="Winter"/>
    <s v="C"/>
    <s v="Switchback"/>
    <x v="1"/>
    <n v="35"/>
    <s v="Outdoor apparel"/>
    <n v="1702"/>
    <n v="1085"/>
    <n v="617"/>
    <n v="1554"/>
    <n v="-937"/>
    <n v="-712"/>
    <n v="1012"/>
    <n v="-0.418331374853114"/>
  </r>
  <r>
    <n v="2020"/>
    <s v="Winter"/>
    <s v="B"/>
    <s v="Burro"/>
    <x v="3"/>
    <n v="150"/>
    <s v="Breakfast burritos"/>
    <n v="6987"/>
    <n v="3711"/>
    <n v="3276"/>
    <n v="4663"/>
    <n v="-1388"/>
    <n v="-1009"/>
    <n v="735"/>
    <n v="-0.14441104909116931"/>
  </r>
  <r>
    <n v="2020"/>
    <s v="Winter"/>
    <s v="A"/>
    <s v="Pop Shop"/>
    <x v="12"/>
    <n v="35"/>
    <s v="Mixed drinks"/>
    <n v="3644"/>
    <n v="2621"/>
    <n v="971"/>
    <n v="2046"/>
    <n v="-1075"/>
    <n v="-812"/>
    <n v="1362"/>
    <n v="-0.22283205268935236"/>
  </r>
  <r>
    <n v="2019"/>
    <s v="Fall"/>
    <s v="H"/>
    <s v="Boom! Toasted"/>
    <x v="11"/>
    <n v="75"/>
    <s v="Gourmet Toast"/>
    <n v="3428"/>
    <n v="2512"/>
    <n v="916"/>
    <n v="2360"/>
    <n v="-1444"/>
    <n v="-1059"/>
    <n v="-197"/>
    <n v="-0.308926487747958"/>
  </r>
  <r>
    <n v="2019"/>
    <s v="Fall"/>
    <s v="G"/>
    <s v="Salt Fix"/>
    <x v="8"/>
    <n v="150"/>
    <s v="Soft Pretzels"/>
    <n v="5697"/>
    <n v="1436"/>
    <n v="4261"/>
    <n v="4515"/>
    <n v="-254"/>
    <n v="-207"/>
    <n v="1660"/>
    <n v="-3.6334913112164295E-2"/>
  </r>
  <r>
    <n v="2019"/>
    <s v="Fall"/>
    <s v="F"/>
    <s v="Batter Up"/>
    <x v="12"/>
    <n v="35"/>
    <s v="Waffles Bites"/>
    <n v="5248"/>
    <n v="1233"/>
    <n v="4015"/>
    <n v="5082"/>
    <n v="-1067"/>
    <n v="-795"/>
    <n v="1955"/>
    <n v="-0.15148628048780488"/>
  </r>
  <r>
    <n v="2019"/>
    <s v="Fall"/>
    <s v="E"/>
    <s v="Subtle, Me"/>
    <x v="1"/>
    <n v="35"/>
    <s v="Custom Jewelry"/>
    <n v="6984"/>
    <n v="2320"/>
    <n v="4574"/>
    <n v="5895"/>
    <n v="-1321"/>
    <n v="-978"/>
    <n v="1890"/>
    <n v="-0.14003436426116839"/>
  </r>
  <r>
    <n v="2019"/>
    <s v="Fall"/>
    <s v="D"/>
    <s v="The Shoppe"/>
    <x v="1"/>
    <n v="35"/>
    <s v="Candles; Plants; Misc"/>
    <n v="5471"/>
    <n v="1786"/>
    <n v="3685"/>
    <n v="2937"/>
    <n v="748"/>
    <n v="462"/>
    <n v="1711"/>
    <n v="8.4445256808627314E-2"/>
  </r>
  <r>
    <n v="2019"/>
    <s v="Fall"/>
    <s v="C"/>
    <s v="Bonga Beads"/>
    <x v="1"/>
    <n v="35"/>
    <s v="Beaded Jewelry"/>
    <n v="7498"/>
    <n v="1924"/>
    <n v="5575"/>
    <n v="4234"/>
    <n v="1341"/>
    <n v="911"/>
    <n v="3268"/>
    <n v="0.1214990664177114"/>
  </r>
  <r>
    <n v="2019"/>
    <s v="Fall"/>
    <s v="B"/>
    <s v="Toasties"/>
    <x v="3"/>
    <n v="150"/>
    <s v="Paninies"/>
    <n v="11973"/>
    <n v="6906"/>
    <n v="5067"/>
    <n v="3782"/>
    <n v="1285"/>
    <n v="863"/>
    <n v="5959"/>
    <n v="7.2078844065814746E-2"/>
  </r>
  <r>
    <n v="2019"/>
    <s v="Fall"/>
    <s v="A"/>
    <s v="Boujee"/>
    <x v="1"/>
    <n v="35"/>
    <s v="Essential Oils Products"/>
    <n v="3806"/>
    <n v="2140"/>
    <n v="1666"/>
    <n v="2772"/>
    <n v="-1106"/>
    <n v="-816"/>
    <n v="286"/>
    <n v="-0.21439831844456123"/>
  </r>
  <r>
    <n v="2019"/>
    <s v="Spring"/>
    <s v="H"/>
    <s v="The Dog House"/>
    <x v="1"/>
    <n v="25"/>
    <s v="Hot Dogs"/>
    <n v="9088"/>
    <n v="3249"/>
    <n v="5839"/>
    <n v="7319"/>
    <n v="-1480"/>
    <n v="-1084"/>
    <n v="3333"/>
    <n v="-0.1192781690140845"/>
  </r>
  <r>
    <n v="2019"/>
    <s v="Spring"/>
    <s v="G"/>
    <s v="Yellow Stitch"/>
    <x v="1"/>
    <n v="35"/>
    <s v="Women's Scrunchies"/>
    <n v="9043"/>
    <n v="3049"/>
    <n v="5994"/>
    <n v="3834"/>
    <n v="2160"/>
    <n v="1479"/>
    <n v="6551"/>
    <n v="0.1635519186110804"/>
  </r>
  <r>
    <n v="2019"/>
    <s v="Spring"/>
    <s v="F"/>
    <s v="Outdoorish"/>
    <x v="12"/>
    <n v="35"/>
    <s v="Hammocks and Solar Chargers"/>
    <n v="4845"/>
    <n v="4257"/>
    <n v="588"/>
    <n v="3398"/>
    <n v="-2810"/>
    <n v="-2060"/>
    <n v="0"/>
    <n v="-0.42518059855521156"/>
  </r>
  <r>
    <n v="2019"/>
    <s v="Spring"/>
    <s v="E"/>
    <s v="Boneless Bytes"/>
    <x v="8"/>
    <n v="150"/>
    <s v="Boneless Chicken wings and Shakes"/>
    <n v="13878"/>
    <n v="7978"/>
    <n v="5900"/>
    <n v="8376"/>
    <n v="-2476"/>
    <n v="1765"/>
    <n v="3726"/>
    <n v="0.12717970889177116"/>
  </r>
  <r>
    <n v="2019"/>
    <s v="Spring"/>
    <s v="D"/>
    <s v="The Shack"/>
    <x v="3"/>
    <n v="150"/>
    <s v="Hot Dogs and shakes"/>
    <n v="9183"/>
    <n v="3947"/>
    <n v="5236"/>
    <n v="7191"/>
    <n v="-1955"/>
    <n v="-1410"/>
    <n v="2217"/>
    <n v="-0.15354459327017314"/>
  </r>
  <r>
    <n v="2019"/>
    <s v="Spring"/>
    <s v="C"/>
    <s v="Uncle Pops"/>
    <x v="12"/>
    <n v="25"/>
    <s v="italian sodas"/>
    <n v="4612"/>
    <n v="2347"/>
    <n v="2265"/>
    <n v="3198"/>
    <n v="-933"/>
    <n v="-752"/>
    <n v="950"/>
    <n v="-0.16305290546400694"/>
  </r>
  <r>
    <n v="2019"/>
    <s v="Spring"/>
    <s v="B"/>
    <s v="Phil's Philly Cheese Steaks"/>
    <x v="11"/>
    <n v="75"/>
    <s v="philly cheese steaks"/>
    <n v="7560"/>
    <n v="3506"/>
    <n v="4054"/>
    <n v="7271"/>
    <n v="-3217"/>
    <n v="-2326"/>
    <n v="1679"/>
    <n v="-0.30767195767195765"/>
  </r>
  <r>
    <n v="2019"/>
    <s v="Spring"/>
    <s v="A"/>
    <s v="In The Loop"/>
    <x v="1"/>
    <n v="35"/>
    <s v="Handmade Ties"/>
    <n v="6684"/>
    <n v="6327"/>
    <n v="357"/>
    <n v="4116"/>
    <n v="-3759"/>
    <n v="-2659"/>
    <n v="3265"/>
    <n v="-0.39781567923399164"/>
  </r>
  <r>
    <n v="2019"/>
    <s v="Winter"/>
    <s v="I"/>
    <s v="Sticker Seal"/>
    <x v="1"/>
    <n v="35"/>
    <s v="Stickers"/>
    <n v="4719"/>
    <n v="1830"/>
    <n v="2889"/>
    <n v="4635"/>
    <n v="-1746"/>
    <n v="-1293"/>
    <n v="1948"/>
    <n v="-0.27399872854418311"/>
  </r>
  <r>
    <n v="2019"/>
    <s v="Winter"/>
    <s v="H"/>
    <s v="VNL"/>
    <x v="1"/>
    <n v="35"/>
    <s v="Custom Apparel"/>
    <n v="7226"/>
    <n v="2393"/>
    <n v="4833"/>
    <n v="4687"/>
    <n v="146"/>
    <n v="150"/>
    <n v="2772"/>
    <n v="2.0758372543592581E-2"/>
  </r>
  <r>
    <n v="2019"/>
    <s v="Winter"/>
    <s v="G"/>
    <s v="Bigfoot Stickers"/>
    <x v="1"/>
    <n v="35"/>
    <s v="Stickers"/>
    <n v="4732"/>
    <n v="912"/>
    <n v="3820"/>
    <n v="3714"/>
    <n v="106"/>
    <n v="28"/>
    <n v="2460"/>
    <n v="5.9171597633136093E-3"/>
  </r>
  <r>
    <n v="2019"/>
    <s v="Winter"/>
    <s v="F"/>
    <s v="Rep-it"/>
    <x v="1"/>
    <n v="35"/>
    <s v="Custom Apparel"/>
    <n v="8714"/>
    <n v="5544"/>
    <n v="3170"/>
    <n v="5054"/>
    <n v="-1884"/>
    <n v="-1376"/>
    <n v="2346"/>
    <n v="-0.15790681661693826"/>
  </r>
  <r>
    <n v="2019"/>
    <s v="Winter"/>
    <s v="E"/>
    <s v="Smith Street Tacos"/>
    <x v="3"/>
    <n v="150"/>
    <s v="Street Taco's"/>
    <n v="13100"/>
    <n v="7515"/>
    <n v="5585"/>
    <n v="7340"/>
    <n v="-1755"/>
    <n v="-1309"/>
    <n v="5709"/>
    <n v="-9.9923664122137407E-2"/>
  </r>
  <r>
    <n v="2019"/>
    <s v="Winter"/>
    <s v="D"/>
    <s v="Sweetums"/>
    <x v="1"/>
    <n v="35"/>
    <s v="Candy"/>
    <n v="6391"/>
    <n v="2928"/>
    <n v="3463"/>
    <n v="3998"/>
    <n v="-535"/>
    <n v="-417"/>
    <n v="1909"/>
    <n v="-6.5248005007041157E-2"/>
  </r>
  <r>
    <n v="2019"/>
    <s v="Winter"/>
    <s v="C"/>
    <s v="Rexadilla"/>
    <x v="13"/>
    <n v="35"/>
    <s v="Casadillas"/>
    <n v="11393"/>
    <n v="5499"/>
    <n v="5894"/>
    <n v="5091"/>
    <n v="802"/>
    <n v="518"/>
    <n v="4765"/>
    <n v="4.5466514526463615E-2"/>
  </r>
  <r>
    <n v="2019"/>
    <s v="Winter"/>
    <s v="B"/>
    <s v="Casa de Kimabll"/>
    <x v="11"/>
    <n v="75"/>
    <s v="Street Taco's / Tostadas"/>
    <n v="12743"/>
    <n v="8001"/>
    <n v="4743"/>
    <n v="7166"/>
    <n v="-2423"/>
    <n v="-1742"/>
    <n v="4151"/>
    <n v="-0.1367025033351644"/>
  </r>
  <r>
    <n v="2019"/>
    <s v="Winter"/>
    <s v="A"/>
    <s v="The Dunes"/>
    <x v="8"/>
    <n v="150"/>
    <s v="Grab and Go Sandwiches"/>
    <n v="18838"/>
    <n v="10821"/>
    <n v="8017"/>
    <n v="6339"/>
    <n v="1678"/>
    <n v="1116"/>
    <n v="7954"/>
    <n v="5.9241957744983545E-2"/>
  </r>
  <r>
    <n v="2018"/>
    <s v="Fall"/>
    <s v="H"/>
    <s v="Viva la Bowl"/>
    <x v="11"/>
    <n v="75"/>
    <s v="Mexican Salads"/>
    <n v="9919"/>
    <n v="5460"/>
    <n v="4458"/>
    <n v="5182"/>
    <n v="-723"/>
    <n v="-547"/>
    <n v="2509"/>
    <n v="-5.514668817421111E-2"/>
  </r>
  <r>
    <n v="2018"/>
    <s v="Fall"/>
    <s v="G"/>
    <s v="Cyber Sliders"/>
    <x v="8"/>
    <n v="150"/>
    <s v="Slider Sandwiches"/>
    <n v="9446"/>
    <n v="5102"/>
    <n v="4344"/>
    <n v="4556"/>
    <n v="-213"/>
    <n v="-75"/>
    <n v="4354"/>
    <n v="-7.9398687275037058E-3"/>
  </r>
  <r>
    <n v="2018"/>
    <s v="Fall"/>
    <s v="F"/>
    <s v="Lunch Box"/>
    <x v="3"/>
    <n v="150"/>
    <s v="Sandwiches"/>
    <n v="15264"/>
    <n v="6521"/>
    <n v="8742"/>
    <n v="4737"/>
    <n v="4005"/>
    <n v="2780"/>
    <n v="8253"/>
    <n v="0.18212788259958071"/>
  </r>
  <r>
    <n v="2018"/>
    <s v="Fall"/>
    <s v="E"/>
    <s v="Copper Kettle"/>
    <x v="14"/>
    <n v="35"/>
    <s v="Hot Chocolate, Baked Goods"/>
    <n v="8784"/>
    <n v="3456"/>
    <n v="5325"/>
    <n v="4787"/>
    <n v="538"/>
    <n v="345"/>
    <n v="3325"/>
    <n v="3.9275956284153007E-2"/>
  </r>
  <r>
    <n v="2018"/>
    <s v="Fall"/>
    <s v="D"/>
    <s v="Lit"/>
    <x v="1"/>
    <n v="35"/>
    <s v="Candles"/>
    <n v="8276"/>
    <n v="3153"/>
    <n v="5123"/>
    <n v="2530"/>
    <n v="2593"/>
    <n v="1758"/>
    <n v="3723"/>
    <n v="0.2124214596423393"/>
  </r>
  <r>
    <n v="2018"/>
    <s v="Fall"/>
    <s v="C"/>
    <s v="ROFL Games"/>
    <x v="1"/>
    <n v="35"/>
    <s v="Custom Games"/>
    <n v="8448"/>
    <n v="3919"/>
    <n v="5159"/>
    <n v="1468"/>
    <n v="1468"/>
    <n v="998"/>
    <n v="4574"/>
    <n v="0.1181344696969697"/>
  </r>
  <r>
    <n v="2018"/>
    <s v="Fall"/>
    <s v="B"/>
    <s v="Silver Lining"/>
    <x v="1"/>
    <n v="35"/>
    <s v="Jewelry"/>
    <n v="14475"/>
    <n v="2419"/>
    <n v="12056"/>
    <n v="3717"/>
    <n v="8339"/>
    <n v="5754"/>
    <n v="10578"/>
    <n v="0.39751295336787562"/>
  </r>
  <r>
    <n v="2018"/>
    <s v="Fall"/>
    <s v="A"/>
    <s v="Gnarly Woodworks"/>
    <x v="1"/>
    <n v="35"/>
    <s v="Wood rings"/>
    <n v="8360"/>
    <n v="1756"/>
    <n v="6604"/>
    <n v="4816"/>
    <n v="1788"/>
    <n v="1280"/>
    <n v="6130"/>
    <n v="0.15311004784688995"/>
  </r>
  <r>
    <n v="2018"/>
    <s v="Spring"/>
    <s v="H"/>
    <s v="Fantastic Foods"/>
    <x v="1"/>
    <n v="35"/>
    <s v="Food packaging and delivery"/>
    <n v="3354"/>
    <n v="3244"/>
    <n v="110"/>
    <n v="3424"/>
    <n v="-3313"/>
    <n v="-2402"/>
    <n v="-1935"/>
    <n v="-0.71615980918306499"/>
  </r>
  <r>
    <n v="2018"/>
    <s v="Spring"/>
    <s v="G"/>
    <s v="Imperial Rice"/>
    <x v="8"/>
    <n v="150"/>
    <s v="Rice bowls"/>
    <n v="9102"/>
    <n v="5264"/>
    <n v="3838"/>
    <n v="5423"/>
    <n v="-1585"/>
    <n v="-1169"/>
    <n v="3738"/>
    <n v="-0.12843331136014063"/>
  </r>
  <r>
    <n v="2018"/>
    <s v="Spring"/>
    <s v="F"/>
    <s v="Jurassic Wraps"/>
    <x v="11"/>
    <n v="75"/>
    <s v="Wraps"/>
    <n v="7481"/>
    <n v="3653"/>
    <n v="3828"/>
    <n v="4582"/>
    <n v="-753"/>
    <n v="-566"/>
    <n v="2160"/>
    <n v="-7.5658334447266412E-2"/>
  </r>
  <r>
    <n v="2018"/>
    <s v="Spring"/>
    <s v="E"/>
    <s v="Joey &amp; Co"/>
    <x v="1"/>
    <n v="35"/>
    <s v="Apparel"/>
    <n v="3802"/>
    <n v="2219"/>
    <n v="1583"/>
    <n v="2905"/>
    <n v="-1322"/>
    <n v="-978"/>
    <n v="567"/>
    <n v="-0.25723303524460811"/>
  </r>
  <r>
    <n v="2018"/>
    <s v="Spring"/>
    <s v="D"/>
    <s v="Shaves"/>
    <x v="3"/>
    <n v="150"/>
    <s v="Shaved ice/hot dogs"/>
    <n v="3052"/>
    <n v="682"/>
    <n v="2370"/>
    <n v="5612"/>
    <n v="-3242"/>
    <n v="-2340"/>
    <n v="-691"/>
    <n v="-0.76671035386631714"/>
  </r>
  <r>
    <n v="2018"/>
    <s v="Spring"/>
    <s v="C"/>
    <s v="Honu Life"/>
    <x v="14"/>
    <n v="35"/>
    <s v="Hammocks, hats"/>
    <n v="4910"/>
    <n v="2858"/>
    <n v="2052"/>
    <n v="3008"/>
    <n v="956"/>
    <n v="-753"/>
    <n v="1229"/>
    <n v="-0.15336048879837066"/>
  </r>
  <r>
    <n v="2018"/>
    <s v="Spring"/>
    <s v="B"/>
    <s v="Laurel Bee"/>
    <x v="1"/>
    <n v="35"/>
    <s v="Jewelry"/>
    <n v="4486"/>
    <n v="932"/>
    <n v="3553"/>
    <n v="2733"/>
    <n v="821"/>
    <n v="559"/>
    <n v="2339"/>
    <n v="0.12460989745876058"/>
  </r>
  <r>
    <n v="2018"/>
    <s v="Spring"/>
    <s v="A"/>
    <s v="Serenity"/>
    <x v="1"/>
    <n v="35"/>
    <s v="Bath bombs"/>
    <n v="3050"/>
    <n v="1103"/>
    <n v="1946"/>
    <n v="2907"/>
    <n v="-961"/>
    <n v="-704"/>
    <n v="796"/>
    <n v="-0.23081967213114754"/>
  </r>
  <r>
    <n v="2018"/>
    <s v="Winter"/>
    <s v="G"/>
    <s v="Bee's Knees"/>
    <x v="1"/>
    <n v="35"/>
    <s v="Skin Care Products"/>
    <n v="7980"/>
    <n v="2616"/>
    <n v="5364"/>
    <n v="4243"/>
    <n v="1121"/>
    <n v="714"/>
    <n v="3990"/>
    <n v="8.9473684210526316E-2"/>
  </r>
  <r>
    <n v="2018"/>
    <s v="Winter"/>
    <s v="F"/>
    <s v="Sawtooth Supply Co"/>
    <x v="1"/>
    <n v="35"/>
    <s v="Billboard Duffle Bags"/>
    <n v="11023"/>
    <n v="3094"/>
    <n v="4162"/>
    <n v="3788"/>
    <n v="375"/>
    <n v="332"/>
    <n v="3678"/>
    <n v="3.0118842420393723E-2"/>
  </r>
  <r>
    <n v="2018"/>
    <s v="Winter"/>
    <s v="E"/>
    <s v="Date Box"/>
    <x v="1"/>
    <n v="35"/>
    <s v="Date Boxes"/>
    <n v="6647"/>
    <n v="4147"/>
    <n v="2501"/>
    <n v="4042"/>
    <n v="-1541"/>
    <n v="-1191"/>
    <n v="1766"/>
    <n v="-0.17917857680156463"/>
  </r>
  <r>
    <n v="2018"/>
    <s v="Winter"/>
    <s v="D"/>
    <s v="Patch Co."/>
    <x v="1"/>
    <n v="35"/>
    <s v="Customized Hats"/>
    <n v="9093"/>
    <n v="3902"/>
    <n v="5190"/>
    <n v="3741"/>
    <n v="1449"/>
    <n v="937"/>
    <n v="3574"/>
    <n v="0.10304629935114924"/>
  </r>
  <r>
    <n v="2018"/>
    <s v="Winter"/>
    <s v="C"/>
    <s v="Soup City"/>
    <x v="11"/>
    <n v="75"/>
    <s v="Soups"/>
    <n v="11128"/>
    <n v="4622"/>
    <n v="6506"/>
    <n v="6493"/>
    <n v="13"/>
    <n v="-70"/>
    <n v="3535"/>
    <n v="-6.2904385334291877E-3"/>
  </r>
  <r>
    <n v="2018"/>
    <s v="Winter"/>
    <s v="B"/>
    <s v="The Coop"/>
    <x v="8"/>
    <n v="150"/>
    <s v="Fried Chicken"/>
    <n v="18262"/>
    <n v="9266"/>
    <n v="8995"/>
    <n v="7186"/>
    <n v="1809"/>
    <n v="1222"/>
    <n v="6252"/>
    <n v="6.6914905267769137E-2"/>
  </r>
  <r>
    <n v="2018"/>
    <s v="Winter"/>
    <s v="A"/>
    <s v="Shredded Chicken"/>
    <x v="3"/>
    <n v="150"/>
    <s v="Chicken Sandwiches"/>
    <n v="16323"/>
    <n v="6720"/>
    <n v="9604"/>
    <n v="7332"/>
    <n v="2272"/>
    <n v="1783"/>
    <n v="7461"/>
    <n v="0.10923237150033695"/>
  </r>
  <r>
    <n v="2017"/>
    <s v="Fall"/>
    <s v="G"/>
    <s v="Hot Spot"/>
    <x v="1"/>
    <n v="35"/>
    <s v="Winter Clothes&amp;accessories"/>
    <n v="3033"/>
    <n v="2396"/>
    <n v="637"/>
    <n v="2671"/>
    <n v="-2034"/>
    <n v="-1543"/>
    <m/>
    <n v="-0.50873722387075504"/>
  </r>
  <r>
    <n v="2017"/>
    <s v="Fall"/>
    <s v="F"/>
    <s v="Wafel Co."/>
    <x v="12"/>
    <n v="35"/>
    <s v="Waffels"/>
    <n v="12637"/>
    <n v="5738"/>
    <n v="6899"/>
    <n v="6168"/>
    <n v="731"/>
    <n v="438"/>
    <m/>
    <n v="3.4660125029674763E-2"/>
  </r>
  <r>
    <n v="2017"/>
    <s v="Fall"/>
    <s v="E"/>
    <s v="Mama's Bistro"/>
    <x v="8"/>
    <n v="150"/>
    <s v="Panini sandwiches and soup"/>
    <n v="15648"/>
    <n v="6388"/>
    <n v="9260"/>
    <n v="8640"/>
    <n v="620"/>
    <n v="378"/>
    <m/>
    <n v="2.415644171779141E-2"/>
  </r>
  <r>
    <n v="2017"/>
    <s v="Fall"/>
    <s v="D"/>
    <s v="Dough Mama's Kitchen"/>
    <x v="3"/>
    <n v="150"/>
    <s v="Kolaches"/>
    <n v="7680"/>
    <n v="3705"/>
    <n v="3975"/>
    <n v="5746"/>
    <n v="-1771"/>
    <n v="-1323"/>
    <m/>
    <n v="-0.17226562500000001"/>
  </r>
  <r>
    <n v="2017"/>
    <s v="Fall"/>
    <s v="C"/>
    <s v="Visual Records"/>
    <x v="1"/>
    <n v="35"/>
    <s v="Home Decor (w/sound wave art)"/>
    <n v="7421"/>
    <n v="3322"/>
    <n v="4099"/>
    <n v="3686"/>
    <n v="413"/>
    <n v="241"/>
    <m/>
    <n v="3.2475407627004446E-2"/>
  </r>
  <r>
    <n v="2017"/>
    <s v="Fall"/>
    <s v="B"/>
    <s v="Cozy Comforts"/>
    <x v="1"/>
    <n v="35"/>
    <s v="Blankets"/>
    <n v="10660"/>
    <n v="5884"/>
    <n v="4776"/>
    <n v="3648"/>
    <n v="1128"/>
    <n v="670"/>
    <m/>
    <n v="6.2851782363977482E-2"/>
  </r>
  <r>
    <n v="2017"/>
    <s v="Fall"/>
    <s v="A"/>
    <s v="Open Box Games"/>
    <x v="1"/>
    <n v="35"/>
    <s v="Mormon card games"/>
    <n v="20321"/>
    <n v="8544"/>
    <n v="11777"/>
    <n v="3993"/>
    <n v="7784"/>
    <n v="5446"/>
    <m/>
    <n v="0.26799862211505338"/>
  </r>
  <r>
    <n v="2017"/>
    <s v="Spring"/>
    <s v="F"/>
    <s v="StickOut"/>
    <x v="1"/>
    <m/>
    <s v="Vinyl Stickers"/>
    <n v="5092"/>
    <n v="788"/>
    <n v="4305"/>
    <n v="4304"/>
    <n v="1"/>
    <n v="-62"/>
    <m/>
    <n v="-1.2175962293794187E-2"/>
  </r>
  <r>
    <n v="2017"/>
    <s v="Spring"/>
    <s v="E"/>
    <s v="ParadICE"/>
    <x v="12"/>
    <m/>
    <s v="Shaved Ice"/>
    <n v="4507"/>
    <n v="1036"/>
    <n v="3471"/>
    <n v="4595"/>
    <n v="-1124"/>
    <n v="-846"/>
    <m/>
    <n v="-0.18770800976259153"/>
  </r>
  <r>
    <n v="2017"/>
    <s v="Spring"/>
    <s v="D"/>
    <s v="Chanchos"/>
    <x v="15"/>
    <m/>
    <s v="Tacos"/>
    <n v="15592"/>
    <n v="4456"/>
    <n v="11137"/>
    <n v="8743"/>
    <n v="2394"/>
    <n v="1531"/>
    <m/>
    <n v="9.8191380194971783E-2"/>
  </r>
  <r>
    <n v="2017"/>
    <s v="Spring"/>
    <s v="C"/>
    <s v="Doughlicious"/>
    <x v="12"/>
    <m/>
    <s v="Cookie Dough"/>
    <n v="8539"/>
    <n v="2314"/>
    <n v="6225"/>
    <n v="7310"/>
    <n v="-1085"/>
    <n v="-811"/>
    <m/>
    <n v="-9.4975992504977166E-2"/>
  </r>
  <r>
    <n v="2017"/>
    <s v="Spring"/>
    <s v="B"/>
    <s v="Ohana Hut"/>
    <x v="8"/>
    <m/>
    <s v="Rice Bowl"/>
    <n v="11432"/>
    <n v="5567"/>
    <n v="5866"/>
    <n v="7016"/>
    <n v="-1150"/>
    <n v="-875"/>
    <m/>
    <n v="-7.6539538138558433E-2"/>
  </r>
  <r>
    <n v="2017"/>
    <s v="Spring"/>
    <s v="A"/>
    <s v="Treeline"/>
    <x v="1"/>
    <m/>
    <s v="Hammock"/>
    <n v="20078"/>
    <n v="11478"/>
    <n v="8600"/>
    <n v="4076"/>
    <n v="4524"/>
    <n v="3091"/>
    <m/>
    <n v="0.15394959657336388"/>
  </r>
  <r>
    <n v="2017"/>
    <s v="Winter"/>
    <s v="H"/>
    <s v="Impress"/>
    <x v="1"/>
    <m/>
    <s v="Etched Wood products"/>
    <n v="5786"/>
    <n v="2930"/>
    <n v="2930"/>
    <n v="4413"/>
    <n v="-1483"/>
    <n v="-1069"/>
    <m/>
    <n v="-0.18475630833045281"/>
  </r>
  <r>
    <n v="2017"/>
    <s v="Winter"/>
    <s v="G"/>
    <s v="Simply Soft"/>
    <x v="1"/>
    <m/>
    <s v="Lotions"/>
    <n v="4762"/>
    <n v="2334"/>
    <n v="2428"/>
    <n v="3559"/>
    <n v="-1131"/>
    <n v="-875"/>
    <m/>
    <n v="-0.18374632507349853"/>
  </r>
  <r>
    <n v="2017"/>
    <s v="Winter"/>
    <s v="F"/>
    <s v="Backyard BBQ"/>
    <x v="8"/>
    <m/>
    <s v="BBQ pulled pork"/>
    <n v="15613"/>
    <n v="5088"/>
    <n v="10526"/>
    <n v="6784"/>
    <n v="3742"/>
    <n v="2531"/>
    <m/>
    <n v="0.1621084993274835"/>
  </r>
  <r>
    <n v="2017"/>
    <s v="Winter"/>
    <s v="E"/>
    <s v="Acai Bowl"/>
    <x v="5"/>
    <m/>
    <s v="Acai Bowls (blended fruit bowls)"/>
    <n v="11753"/>
    <n v="2956"/>
    <n v="8797"/>
    <n v="5468"/>
    <n v="3328"/>
    <n v="2301"/>
    <m/>
    <n v="0.19577980090189739"/>
  </r>
  <r>
    <n v="2017"/>
    <s v="Winter"/>
    <s v="D"/>
    <s v="Wing Shack"/>
    <x v="15"/>
    <m/>
    <s v="Chicken Wings"/>
    <n v="38186"/>
    <n v="15711"/>
    <n v="22474"/>
    <n v="9288"/>
    <n v="13186"/>
    <n v="9213"/>
    <m/>
    <n v="0.24126643272403497"/>
  </r>
  <r>
    <n v="2017"/>
    <s v="Winter"/>
    <s v="C"/>
    <s v="Nature"/>
    <x v="1"/>
    <m/>
    <s v="Lotions"/>
    <n v="7404"/>
    <n v="3622"/>
    <n v="3783"/>
    <n v="3283"/>
    <n v="500"/>
    <n v="511"/>
    <m/>
    <n v="6.9016747703943809E-2"/>
  </r>
  <r>
    <n v="2017"/>
    <s v="Winter"/>
    <s v="B"/>
    <s v="The Sock Shop"/>
    <x v="1"/>
    <m/>
    <s v="Socks"/>
    <n v="9534"/>
    <n v="4687"/>
    <n v="4847"/>
    <n v="3873"/>
    <n v="974"/>
    <n v="632"/>
    <m/>
    <n v="6.6289070694357036E-2"/>
  </r>
  <r>
    <n v="2017"/>
    <s v="Winter"/>
    <s v="A"/>
    <s v="The Meltdown"/>
    <x v="3"/>
    <m/>
    <s v="Grilled Cheese"/>
    <n v="15117"/>
    <n v="4672"/>
    <n v="10446"/>
    <n v="7254"/>
    <n v="3191"/>
    <n v="2187"/>
    <m/>
    <n v="0.14467156181782101"/>
  </r>
  <r>
    <n v="2016"/>
    <s v="Fall"/>
    <s v="H"/>
    <s v="Rexburg Co."/>
    <x v="1"/>
    <m/>
    <s v="Branded Apparel"/>
    <n v="6246"/>
    <n v="2327"/>
    <n v="3919"/>
    <n v="4129"/>
    <n v="-210"/>
    <n v="-696"/>
    <n v="1888"/>
    <n v="-0.11143131604226705"/>
  </r>
  <r>
    <n v="2016"/>
    <s v="Fall"/>
    <s v="G"/>
    <s v="Panini Plus"/>
    <x v="11"/>
    <m/>
    <s v="Paninins"/>
    <n v="11539"/>
    <n v="5324"/>
    <n v="6214"/>
    <n v="6971"/>
    <n v="-756"/>
    <n v="-530"/>
    <n v="3810"/>
    <n v="-4.59311898778057E-2"/>
  </r>
  <r>
    <n v="2016"/>
    <s v="Fall"/>
    <s v="F"/>
    <s v="Jewelry by Anson"/>
    <x v="1"/>
    <m/>
    <s v="Jewelry"/>
    <n v="5467"/>
    <n v="508"/>
    <n v="4959"/>
    <n v="5090"/>
    <n v="-131"/>
    <n v="817"/>
    <n v="3319"/>
    <n v="0.14944210718858605"/>
  </r>
  <r>
    <n v="2016"/>
    <s v="Fall"/>
    <s v="E"/>
    <s v="Grizzly Wear"/>
    <x v="1"/>
    <m/>
    <s v="Branded Apparel"/>
    <n v="13990"/>
    <n v="8377"/>
    <n v="5613"/>
    <n v="6642"/>
    <n v="-1030"/>
    <n v="-816"/>
    <n v="2759"/>
    <n v="-5.8327376697641174E-2"/>
  </r>
  <r>
    <n v="2016"/>
    <s v="Fall"/>
    <s v="D"/>
    <s v="Heaven Scent"/>
    <x v="1"/>
    <m/>
    <s v="Scented Items"/>
    <n v="10610"/>
    <n v="3868"/>
    <n v="6742"/>
    <n v="5411"/>
    <n v="1331"/>
    <n v="890"/>
    <n v="3580"/>
    <n v="8.3883129123468431E-2"/>
  </r>
  <r>
    <n v="2016"/>
    <s v="Fall"/>
    <s v="C"/>
    <s v="Mexi Rexi"/>
    <x v="8"/>
    <m/>
    <s v="Mexican Tortas"/>
    <n v="16508"/>
    <n v="7689"/>
    <n v="8819"/>
    <n v="10684"/>
    <n v="-1685"/>
    <n v="-1366"/>
    <n v="5842"/>
    <n v="-8.2747758662466683E-2"/>
  </r>
  <r>
    <n v="2016"/>
    <s v="Fall"/>
    <s v="B"/>
    <s v="Bitez"/>
    <x v="12"/>
    <m/>
    <s v="Muffins"/>
    <n v="6779"/>
    <n v="3751"/>
    <n v="3028"/>
    <n v="4163"/>
    <n v="-1135"/>
    <n v="-929"/>
    <n v="1088"/>
    <n v="-0.13704086148399469"/>
  </r>
  <r>
    <n v="2016"/>
    <s v="Fall"/>
    <s v="A"/>
    <s v="The Lodge"/>
    <x v="1"/>
    <m/>
    <s v="Hand Warmers"/>
    <n v="12696"/>
    <n v="3408"/>
    <n v="9288"/>
    <n v="5240"/>
    <n v="4048"/>
    <n v="2789"/>
    <n v="7501"/>
    <n v="0.21967548834278514"/>
  </r>
  <r>
    <n v="2016"/>
    <s v="Spring"/>
    <s v="F"/>
    <s v="Fro Zone"/>
    <x v="12"/>
    <m/>
    <s v="Cold Treats"/>
    <n v="6748"/>
    <n v="2772"/>
    <n v="3975"/>
    <n v="7649"/>
    <n v="-3674"/>
    <n v="-2732"/>
    <m/>
    <n v="-0.4048606994665086"/>
  </r>
  <r>
    <n v="2016"/>
    <s v="Spring"/>
    <s v="E"/>
    <s v="Hot Diggity"/>
    <x v="3"/>
    <m/>
    <s v="Hot Dogs"/>
    <n v="20288"/>
    <n v="8197"/>
    <n v="12091"/>
    <n v="11657"/>
    <n v="434"/>
    <n v="239"/>
    <m/>
    <n v="1.1780362776025236E-2"/>
  </r>
  <r>
    <n v="2016"/>
    <s v="Spring"/>
    <s v="D"/>
    <s v="Le Belle"/>
    <x v="1"/>
    <m/>
    <s v="Branded Apparel"/>
    <n v="17489"/>
    <n v="5864"/>
    <n v="11348"/>
    <n v="6462"/>
    <n v="4886"/>
    <n v="3310"/>
    <m/>
    <n v="0.18926182171650752"/>
  </r>
  <r>
    <n v="2016"/>
    <s v="Spring"/>
    <s v="C"/>
    <s v="Shortstop"/>
    <x v="12"/>
    <m/>
    <s v="Homemade Pretzels"/>
    <n v="10192"/>
    <n v="2708"/>
    <n v="7484"/>
    <n v="9802"/>
    <n v="-2317"/>
    <n v="-3159"/>
    <m/>
    <n v="-0.30994897959183676"/>
  </r>
  <r>
    <n v="2016"/>
    <s v="Spring"/>
    <s v="B"/>
    <s v="Splash n'Dash"/>
    <x v="16"/>
    <m/>
    <s v="Car Wash"/>
    <n v="13360"/>
    <n v="2326"/>
    <n v="11033"/>
    <n v="4853"/>
    <n v="6181"/>
    <n v="4285"/>
    <m/>
    <n v="0.32073353293413176"/>
  </r>
  <r>
    <n v="2016"/>
    <s v="Spring"/>
    <s v="A"/>
    <s v="Tacontento"/>
    <x v="11"/>
    <m/>
    <s v="Tacos"/>
    <n v="16171"/>
    <n v="6340"/>
    <n v="9340"/>
    <n v="6704"/>
    <n v="2636"/>
    <n v="1779"/>
    <m/>
    <n v="0.11001174942798837"/>
  </r>
  <r>
    <n v="2016"/>
    <s v="Winter"/>
    <s v="I"/>
    <m/>
    <x v="10"/>
    <m/>
    <s v="Candy"/>
    <n v="2013"/>
    <n v="1639"/>
    <n v="374"/>
    <n v="210"/>
    <n v="164"/>
    <n v="36"/>
    <m/>
    <n v="1.7883755588673621E-2"/>
  </r>
  <r>
    <n v="2016"/>
    <s v="Winter"/>
    <s v="H"/>
    <m/>
    <x v="12"/>
    <m/>
    <s v="Boucy balls"/>
    <n v="808"/>
    <n v="0"/>
    <n v="808"/>
    <n v="458"/>
    <n v="350"/>
    <n v="-17"/>
    <m/>
    <n v="-2.1039603960396041E-2"/>
  </r>
  <r>
    <n v="2016"/>
    <s v="Winter"/>
    <s v="G"/>
    <s v="Viking Rolls"/>
    <x v="3"/>
    <m/>
    <s v="Sandwiches"/>
    <n v="16195"/>
    <n v="4536"/>
    <n v="11659"/>
    <n v="7312"/>
    <n v="4347"/>
    <n v="2917"/>
    <m/>
    <n v="0.18011732016054338"/>
  </r>
  <r>
    <n v="2016"/>
    <s v="Winter"/>
    <s v="F"/>
    <m/>
    <x v="17"/>
    <m/>
    <s v="Prepackaged food"/>
    <n v="8151"/>
    <n v="3388"/>
    <n v="4763"/>
    <n v="5642"/>
    <n v="-879"/>
    <n v="-785"/>
    <m/>
    <n v="-9.6307201570359463E-2"/>
  </r>
  <r>
    <n v="2016"/>
    <s v="Winter"/>
    <s v="E"/>
    <s v="Roam"/>
    <x v="1"/>
    <m/>
    <s v="Branded Apparel"/>
    <n v="14021"/>
    <n v="6392"/>
    <n v="7629"/>
    <n v="4217"/>
    <n v="3412"/>
    <n v="2282"/>
    <m/>
    <n v="0.16275586620069896"/>
  </r>
  <r>
    <n v="2016"/>
    <s v="Winter"/>
    <s v="D"/>
    <m/>
    <x v="1"/>
    <m/>
    <s v="Branded Apparel"/>
    <n v="8464"/>
    <n v="5435"/>
    <n v="3029"/>
    <n v="2702"/>
    <n v="327"/>
    <n v="151"/>
    <m/>
    <n v="1.7840264650283554E-2"/>
  </r>
  <r>
    <n v="2016"/>
    <s v="Winter"/>
    <s v="C"/>
    <m/>
    <x v="12"/>
    <m/>
    <s v="Burritos"/>
    <n v="18509"/>
    <n v="9200"/>
    <n v="9309"/>
    <n v="11348"/>
    <n v="-2039"/>
    <n v="-1474"/>
    <m/>
    <n v="-7.9636933383759254E-2"/>
  </r>
  <r>
    <n v="2016"/>
    <s v="Winter"/>
    <s v="B"/>
    <m/>
    <x v="1"/>
    <m/>
    <s v="Photo Booth"/>
    <n v="11552"/>
    <n v="5400"/>
    <n v="6152"/>
    <n v="5099"/>
    <n v="1053"/>
    <n v="677"/>
    <m/>
    <n v="5.8604570637119116E-2"/>
  </r>
  <r>
    <n v="2016"/>
    <s v="Winter"/>
    <s v="A"/>
    <m/>
    <x v="11"/>
    <m/>
    <s v="BBQ"/>
    <n v="20480"/>
    <n v="10072"/>
    <n v="10408"/>
    <n v="8000"/>
    <n v="7795"/>
    <n v="1629"/>
    <m/>
    <n v="7.9541015625000003E-2"/>
  </r>
  <r>
    <n v="2015"/>
    <s v="Fall"/>
    <s v="H"/>
    <s v="Look Good Feel Good"/>
    <x v="1"/>
    <m/>
    <s v="Ties"/>
    <m/>
    <m/>
    <m/>
    <m/>
    <m/>
    <m/>
    <m/>
    <n v="0"/>
  </r>
  <r>
    <n v="2015"/>
    <s v="Fall"/>
    <s v="G"/>
    <s v="Chamaco"/>
    <x v="17"/>
    <m/>
    <s v="Tamales"/>
    <m/>
    <m/>
    <m/>
    <m/>
    <m/>
    <m/>
    <m/>
    <n v="0"/>
  </r>
  <r>
    <n v="2015"/>
    <s v="Fall"/>
    <s v="F"/>
    <s v="Spud Nation"/>
    <x v="3"/>
    <m/>
    <s v="Stuffed Fries"/>
    <m/>
    <m/>
    <m/>
    <m/>
    <m/>
    <m/>
    <m/>
    <n v="0"/>
  </r>
  <r>
    <n v="2015"/>
    <s v="Fall"/>
    <s v="E"/>
    <s v="Date Box"/>
    <x v="10"/>
    <m/>
    <s v="?"/>
    <m/>
    <m/>
    <m/>
    <m/>
    <m/>
    <m/>
    <m/>
    <n v="0"/>
  </r>
  <r>
    <n v="2015"/>
    <s v="Fall"/>
    <s v="D"/>
    <s v="Rep T"/>
    <x v="1"/>
    <m/>
    <s v="Branded Apparel"/>
    <m/>
    <m/>
    <m/>
    <m/>
    <m/>
    <m/>
    <m/>
    <n v="0"/>
  </r>
  <r>
    <n v="2015"/>
    <s v="Fall"/>
    <s v="C"/>
    <s v="Impressions"/>
    <x v="1"/>
    <m/>
    <s v="Branded Apparel"/>
    <m/>
    <m/>
    <m/>
    <m/>
    <m/>
    <m/>
    <m/>
    <n v="0"/>
  </r>
  <r>
    <n v="2015"/>
    <s v="Fall"/>
    <s v="B"/>
    <s v="Sips"/>
    <x v="12"/>
    <m/>
    <s v="?"/>
    <m/>
    <m/>
    <m/>
    <m/>
    <m/>
    <m/>
    <m/>
    <n v="0"/>
  </r>
  <r>
    <n v="2015"/>
    <s v="Fall"/>
    <s v="A"/>
    <s v="Athens Grill"/>
    <x v="11"/>
    <m/>
    <s v="?"/>
    <m/>
    <m/>
    <m/>
    <m/>
    <m/>
    <m/>
    <m/>
    <n v="0"/>
  </r>
  <r>
    <n v="2015"/>
    <s v="Spring"/>
    <s v="G"/>
    <m/>
    <x v="7"/>
    <m/>
    <m/>
    <m/>
    <m/>
    <m/>
    <m/>
    <m/>
    <m/>
    <m/>
    <n v="0"/>
  </r>
  <r>
    <n v="2015"/>
    <s v="Spring"/>
    <s v="F"/>
    <m/>
    <x v="7"/>
    <m/>
    <m/>
    <m/>
    <m/>
    <m/>
    <m/>
    <m/>
    <m/>
    <m/>
    <n v="0"/>
  </r>
  <r>
    <n v="2015"/>
    <s v="Spring"/>
    <s v="E"/>
    <s v="Toasties"/>
    <x v="7"/>
    <m/>
    <s v="Food"/>
    <n v="16625"/>
    <n v="8353"/>
    <n v="8272"/>
    <n v="1809"/>
    <n v="6462"/>
    <n v="6462"/>
    <m/>
    <n v="0.38869172932330825"/>
  </r>
  <r>
    <n v="2015"/>
    <s v="Spring"/>
    <s v="D"/>
    <m/>
    <x v="7"/>
    <m/>
    <m/>
    <m/>
    <m/>
    <m/>
    <m/>
    <m/>
    <m/>
    <m/>
    <n v="0"/>
  </r>
  <r>
    <n v="2015"/>
    <s v="Spring"/>
    <s v="C"/>
    <m/>
    <x v="7"/>
    <m/>
    <m/>
    <m/>
    <m/>
    <m/>
    <m/>
    <m/>
    <m/>
    <m/>
    <n v="0"/>
  </r>
  <r>
    <n v="2015"/>
    <s v="Spring"/>
    <s v="B"/>
    <m/>
    <x v="7"/>
    <m/>
    <m/>
    <m/>
    <m/>
    <m/>
    <m/>
    <m/>
    <m/>
    <m/>
    <n v="0"/>
  </r>
  <r>
    <n v="2015"/>
    <s v="Spring"/>
    <s v="A"/>
    <m/>
    <x v="7"/>
    <m/>
    <m/>
    <m/>
    <m/>
    <m/>
    <m/>
    <m/>
    <m/>
    <m/>
    <n v="0"/>
  </r>
  <r>
    <n v="2015"/>
    <s v="Winter"/>
    <s v="F"/>
    <s v="Johnny's Diner"/>
    <x v="18"/>
    <m/>
    <s v="Burgers"/>
    <n v="5135"/>
    <m/>
    <m/>
    <m/>
    <m/>
    <n v="2411"/>
    <m/>
    <n v="0.46952288218111005"/>
  </r>
  <r>
    <n v="2015"/>
    <s v="Winter"/>
    <s v="E"/>
    <m/>
    <x v="7"/>
    <m/>
    <m/>
    <m/>
    <m/>
    <m/>
    <m/>
    <m/>
    <m/>
    <m/>
    <n v="0"/>
  </r>
  <r>
    <n v="2015"/>
    <s v="Winter"/>
    <s v="D"/>
    <s v="Shave and Shine"/>
    <x v="1"/>
    <m/>
    <s v="Apparel"/>
    <n v="13589"/>
    <n v="5910"/>
    <n v="7679"/>
    <n v="5909"/>
    <n v="1770"/>
    <n v="1770"/>
    <m/>
    <n v="0.13025241003753035"/>
  </r>
  <r>
    <n v="2015"/>
    <s v="Winter"/>
    <s v="C"/>
    <s v="Royal"/>
    <x v="1"/>
    <m/>
    <s v="Apparel"/>
    <n v="11868"/>
    <n v="5993"/>
    <n v="5874"/>
    <n v="1322"/>
    <n v="4543"/>
    <n v="3861"/>
    <n v="1459"/>
    <n v="0.32532861476238623"/>
  </r>
  <r>
    <n v="2015"/>
    <s v="Winter"/>
    <s v="B"/>
    <s v="43 North"/>
    <x v="12"/>
    <m/>
    <s v="Hot Chocolate"/>
    <n v="9718"/>
    <n v="3778"/>
    <n v="5940"/>
    <n v="13443"/>
    <n v="-7502"/>
    <n v="-7502"/>
    <n v="2363"/>
    <n v="-0.77196954105783078"/>
  </r>
  <r>
    <n v="2015"/>
    <s v="Winter"/>
    <s v="A"/>
    <s v="Teton Tacos"/>
    <x v="3"/>
    <m/>
    <s v="Tacos"/>
    <m/>
    <m/>
    <m/>
    <m/>
    <m/>
    <m/>
    <m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794528-F08E-4179-8D42-647FA57BB64C}" name="PivotTable1" cacheId="1" applyNumberFormats="0" applyBorderFormats="0" applyFontFormats="0" applyPatternFormats="0" applyAlignmentFormats="0" applyWidthHeightFormats="1" dataCaption="Values" updatedVersion="8" minRefreshableVersion="3" itemPrintTitles="1" createdVersion="8" indent="0" outline="1" outlineData="1" multipleFieldFilters="0" chartFormat="20" rowHeaderCaption="Year">
  <location ref="B5:I14" firstHeaderRow="0" firstDataRow="1" firstDataCol="1"/>
  <pivotFields count="15">
    <pivotField axis="axisRow" showAll="0">
      <items count="9">
        <item x="7"/>
        <item x="6"/>
        <item x="5"/>
        <item x="4"/>
        <item x="3"/>
        <item x="2"/>
        <item x="1"/>
        <item x="0"/>
        <item t="default"/>
      </items>
    </pivotField>
    <pivotField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numFmtId="9" showAll="0"/>
  </pivotFields>
  <rowFields count="1">
    <field x="0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Revenue Average" fld="7" subtotal="average" baseField="0" baseItem="0" numFmtId="166"/>
    <dataField name="COGS Average" fld="8" subtotal="average" baseField="0" baseItem="0" numFmtId="166"/>
    <dataField name="Gross Profit Average" fld="9" subtotal="average" baseField="0" baseItem="0" numFmtId="166"/>
    <dataField name="Operating Expense Average" fld="10" subtotal="average" baseField="0" baseItem="0" numFmtId="166"/>
    <dataField name="Operating Income Average" fld="11" subtotal="average" baseField="0" baseItem="0" numFmtId="166"/>
    <dataField name="Net Income Average" fld="12" subtotal="average" baseField="0" baseItem="0" numFmtId="166"/>
    <dataField name="Cash Balance Average" fld="13" subtotal="average" baseField="0" baseItem="0" numFmtId="166"/>
  </dataFields>
  <formats count="9">
    <format dxfId="45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4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3">
      <pivotArea outline="0" collapsedLevelsAreSubtotals="1" fieldPosition="0">
        <references count="1">
          <reference field="4294967294" count="5" selected="0">
            <x v="2"/>
            <x v="3"/>
            <x v="4"/>
            <x v="5"/>
            <x v="6"/>
          </reference>
        </references>
      </pivotArea>
    </format>
    <format dxfId="42">
      <pivotArea field="0" type="button" dataOnly="0" labelOnly="1" outline="0" axis="axisRow" fieldPosition="0"/>
    </format>
    <format dxfId="41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  <format dxfId="40">
      <pivotArea field="0" type="button" dataOnly="0" labelOnly="1" outline="0" axis="axisRow" fieldPosition="0"/>
    </format>
    <format dxfId="39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  <format dxfId="38">
      <pivotArea field="0" type="button" dataOnly="0" labelOnly="1" outline="0" axis="axisRow" fieldPosition="0"/>
    </format>
    <format dxfId="37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</formats>
  <chartFormats count="14">
    <chartFormat chart="15" format="5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5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5" format="5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5" format="5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5" format="60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15" format="61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15" format="62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19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1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16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9" format="17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9" format="18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19" format="19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19" format="20" series="1">
      <pivotArea type="data" outline="0" fieldPosition="0">
        <references count="1">
          <reference field="4294967294" count="1" selected="0">
            <x v="6"/>
          </reference>
        </references>
      </pivotArea>
    </chartFormat>
  </chartFormats>
  <pivotTableStyleInfo name="PivotStyleLight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A5F32B-7281-4415-8616-D44EC93D39DA}" name="PivotTable1" cacheId="1" applyNumberFormats="0" applyBorderFormats="0" applyFontFormats="0" applyPatternFormats="0" applyAlignmentFormats="0" applyWidthHeightFormats="1" dataCaption="Values" updatedVersion="8" minRefreshableVersion="3" itemPrintTitles="1" createdVersion="8" indent="0" outline="1" outlineData="1" multipleFieldFilters="0" chartFormat="16" rowHeaderCaption="Year">
  <location ref="B5:I14" firstHeaderRow="0" firstDataRow="1" firstDataCol="1"/>
  <pivotFields count="15">
    <pivotField axis="axisRow" showAll="0">
      <items count="9">
        <item x="7"/>
        <item x="6"/>
        <item x="5"/>
        <item x="4"/>
        <item x="3"/>
        <item x="2"/>
        <item x="1"/>
        <item x="0"/>
        <item t="default"/>
      </items>
    </pivotField>
    <pivotField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numFmtId="9" showAll="0"/>
  </pivotFields>
  <rowFields count="1">
    <field x="0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Revenue Totals" fld="7" baseField="0" baseItem="0" numFmtId="166"/>
    <dataField name="COGS Totals" fld="8" baseField="0" baseItem="0" numFmtId="166"/>
    <dataField name="Gross Profit Totals" fld="9" baseField="0" baseItem="0" numFmtId="166"/>
    <dataField name="Operating Expense Totals" fld="10" baseField="0" baseItem="0" numFmtId="166"/>
    <dataField name="Operating Income Totals" fld="11" baseField="0" baseItem="0" numFmtId="166"/>
    <dataField name="Net Income Totals" fld="12" baseField="0" baseItem="0" numFmtId="166"/>
    <dataField name="Cash Balance Totals" fld="13" baseField="0" baseItem="0" numFmtId="166"/>
  </dataFields>
  <formats count="9">
    <format dxfId="36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35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4">
      <pivotArea outline="0" collapsedLevelsAreSubtotals="1" fieldPosition="0">
        <references count="1">
          <reference field="4294967294" count="5" selected="0">
            <x v="2"/>
            <x v="3"/>
            <x v="4"/>
            <x v="5"/>
            <x v="6"/>
          </reference>
        </references>
      </pivotArea>
    </format>
    <format dxfId="33">
      <pivotArea field="0" type="button" dataOnly="0" labelOnly="1" outline="0" axis="axisRow" fieldPosition="0"/>
    </format>
    <format dxfId="32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  <format dxfId="31">
      <pivotArea field="0" type="button" dataOnly="0" labelOnly="1" outline="0" axis="axisRow" fieldPosition="0"/>
    </format>
    <format dxfId="30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  <format dxfId="29">
      <pivotArea field="0" type="button" dataOnly="0" labelOnly="1" outline="0" axis="axisRow" fieldPosition="0"/>
    </format>
    <format dxfId="28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</formats>
  <chartFormats count="7">
    <chartFormat chart="15" format="5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5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5" format="5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5" format="5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5" format="60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15" format="61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15" format="62" series="1">
      <pivotArea type="data" outline="0" fieldPosition="0">
        <references count="1">
          <reference field="4294967294" count="1" selected="0">
            <x v="6"/>
          </reference>
        </references>
      </pivotArea>
    </chartFormat>
  </chartFormats>
  <pivotTableStyleInfo name="PivotStyleLight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25959E1-B72F-49E8-89F2-EC46FFDAE7FF}" name="PivotTable5" cacheId="1" applyNumberFormats="0" applyBorderFormats="0" applyFontFormats="0" applyPatternFormats="0" applyAlignmentFormats="0" applyWidthHeightFormats="1" dataCaption="Values" updatedVersion="8" minRefreshableVersion="3" itemPrintTitles="1" createdVersion="8" indent="0" outline="1" outlineData="1" multipleFieldFilters="0" chartFormat="20" rowHeaderCaption="Year">
  <location ref="B3:H36" firstHeaderRow="0" firstDataRow="1" firstDataCol="1"/>
  <pivotFields count="15">
    <pivotField axis="axisRow" showAll="0">
      <items count="9">
        <item x="7"/>
        <item x="6"/>
        <item x="5"/>
        <item x="4"/>
        <item x="3"/>
        <item x="2"/>
        <item x="1"/>
        <item x="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numFmtId="9" showAll="0"/>
  </pivotFields>
  <rowFields count="2">
    <field x="0"/>
    <field x="1"/>
  </rowFields>
  <rowItems count="33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6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Revenue Totals" fld="7" baseField="0" baseItem="0" numFmtId="166"/>
    <dataField name="COGS Totals" fld="8" baseField="0" baseItem="0" numFmtId="166"/>
    <dataField name="Gross Profit Totals" fld="9" baseField="0" baseItem="0" numFmtId="166"/>
    <dataField name="Operating Expense Totals" fld="10" baseField="0" baseItem="0" numFmtId="166"/>
    <dataField name="Operating Income Totals" fld="11" baseField="0" baseItem="0" numFmtId="166"/>
    <dataField name="Net Income Totals" fld="12" baseField="0" baseItem="0" numFmtId="166"/>
  </dataFields>
  <formats count="9">
    <format dxfId="18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6">
      <pivotArea outline="0" collapsedLevelsAreSubtotals="1" fieldPosition="0">
        <references count="1">
          <reference field="4294967294" count="4" selected="0">
            <x v="2"/>
            <x v="3"/>
            <x v="4"/>
            <x v="5"/>
          </reference>
        </references>
      </pivotArea>
    </format>
    <format dxfId="15">
      <pivotArea field="0" type="button" dataOnly="0" labelOnly="1" outline="0" axis="axisRow" fieldPosition="0"/>
    </format>
    <format dxfId="14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13">
      <pivotArea field="0" type="button" dataOnly="0" labelOnly="1" outline="0" axis="axisRow" fieldPosition="0"/>
    </format>
    <format dxfId="12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11">
      <pivotArea field="0" type="button" dataOnly="0" labelOnly="1" outline="0" axis="axisRow" fieldPosition="0"/>
    </format>
    <format dxfId="10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</formats>
  <chartFormats count="40">
    <chartFormat chart="15" format="5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5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5" format="5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5" format="5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5" format="60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15" format="61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1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6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6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6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16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17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7" format="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7" format="10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17" format="11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18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1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8" format="1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8" format="1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8" format="16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18" format="17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19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1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1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9" format="1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9" format="16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19" format="17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19" format="18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2"/>
          </reference>
        </references>
      </pivotArea>
    </chartFormat>
    <chartFormat chart="19" format="19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2"/>
          </reference>
        </references>
      </pivotArea>
    </chartFormat>
    <chartFormat chart="19" format="20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0"/>
          </reference>
        </references>
      </pivotArea>
    </chartFormat>
    <chartFormat chart="19" format="21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1"/>
          </reference>
        </references>
      </pivotArea>
    </chartFormat>
    <chartFormat chart="19" format="22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0"/>
          </reference>
        </references>
      </pivotArea>
    </chartFormat>
    <chartFormat chart="19" format="23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0"/>
          </reference>
        </references>
      </pivotArea>
    </chartFormat>
    <chartFormat chart="19" format="24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1"/>
          </reference>
        </references>
      </pivotArea>
    </chartFormat>
    <chartFormat chart="19" format="25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2"/>
          </reference>
        </references>
      </pivotArea>
    </chartFormat>
    <chartFormat chart="19" format="26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0"/>
          </reference>
        </references>
      </pivotArea>
    </chartFormat>
    <chartFormat chart="19" format="27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1"/>
          </reference>
        </references>
      </pivotArea>
    </chartFormat>
  </chartFormats>
  <pivotTableStyleInfo name="PivotStyleLight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FFE843F-304D-4495-B6A4-B7473FC73770}" name="PivotTable1" cacheId="1" applyNumberFormats="0" applyBorderFormats="0" applyFontFormats="0" applyPatternFormats="0" applyAlignmentFormats="0" applyWidthHeightFormats="1" dataCaption="Values" updatedVersion="8" minRefreshableVersion="3" itemPrintTitles="1" createdVersion="8" indent="0" outline="1" outlineData="1" multipleFieldFilters="0" chartFormat="20" rowHeaderCaption="Year">
  <location ref="A2:G6" firstHeaderRow="0" firstDataRow="1" firstDataCol="1"/>
  <pivotFields count="15">
    <pivotField showAll="0">
      <items count="9">
        <item x="7"/>
        <item x="6"/>
        <item x="5"/>
        <item x="4"/>
        <item x="3"/>
        <item x="2"/>
        <item x="1"/>
        <item x="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numFmtId="9" showAll="0"/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Revenue Average" fld="7" subtotal="average" baseField="0" baseItem="9" numFmtId="166"/>
    <dataField name="COGS Average" fld="8" subtotal="average" baseField="0" baseItem="9" numFmtId="166"/>
    <dataField name="Gross Profit Average" fld="9" subtotal="average" baseField="0" baseItem="9" numFmtId="166"/>
    <dataField name="Operating Expense Average" fld="10" subtotal="average" baseField="0" baseItem="9" numFmtId="166"/>
    <dataField name="Operating Income Average" fld="11" subtotal="average" baseField="0" baseItem="9" numFmtId="166"/>
    <dataField name="Cash Balance Average" fld="13" subtotal="average" baseField="0" baseItem="9" numFmtId="166"/>
  </dataFields>
  <formats count="9">
    <format dxfId="0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">
      <pivotArea outline="0" collapsedLevelsAreSubtotals="1" fieldPosition="0">
        <references count="1">
          <reference field="4294967294" count="4" selected="0">
            <x v="2"/>
            <x v="3"/>
            <x v="4"/>
            <x v="5"/>
          </reference>
        </references>
      </pivotArea>
    </format>
    <format dxfId="3">
      <pivotArea field="0" type="button" dataOnly="0" labelOnly="1" outline="0"/>
    </format>
    <format dxfId="4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5">
      <pivotArea field="0" type="button" dataOnly="0" labelOnly="1" outline="0"/>
    </format>
    <format dxfId="6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7">
      <pivotArea field="0" type="button" dataOnly="0" labelOnly="1" outline="0"/>
    </format>
    <format dxfId="8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</formats>
  <chartFormats count="12">
    <chartFormat chart="15" format="5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5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5" format="5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5" format="5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5" format="60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15" format="62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19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9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9" format="20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19" format="22" series="1">
      <pivotArea type="data" outline="0" fieldPosition="0">
        <references count="1">
          <reference field="4294967294" count="1" selected="0">
            <x v="5"/>
          </reference>
        </references>
      </pivotArea>
    </chartFormat>
  </chartFormats>
  <pivotTableStyleInfo name="PivotStyleLight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AA6D53E-064F-495D-8B07-6FDC5ED1093D}" name="PivotTable7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 chartFormat="4">
  <location ref="B5:C25" firstHeaderRow="1" firstDataRow="1" firstDataCol="1"/>
  <pivotFields count="15"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sortType="ascending">
      <items count="20">
        <item x="13"/>
        <item x="5"/>
        <item x="16"/>
        <item x="18"/>
        <item x="14"/>
        <item x="15"/>
        <item x="6"/>
        <item x="0"/>
        <item x="11"/>
        <item x="12"/>
        <item x="1"/>
        <item x="10"/>
        <item x="2"/>
        <item x="17"/>
        <item x="9"/>
        <item x="3"/>
        <item x="4"/>
        <item x="8"/>
        <item x="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numFmtId="9" outline="0" showAll="0"/>
  </pivotFields>
  <rowFields count="1">
    <field x="4"/>
  </rowFields>
  <rowItems count="20">
    <i>
      <x v="9"/>
    </i>
    <i>
      <x v="8"/>
    </i>
    <i>
      <x v="11"/>
    </i>
    <i>
      <x v="13"/>
    </i>
    <i>
      <x v="16"/>
    </i>
    <i>
      <x v="4"/>
    </i>
    <i>
      <x/>
    </i>
    <i>
      <x v="6"/>
    </i>
    <i>
      <x v="3"/>
    </i>
    <i>
      <x v="12"/>
    </i>
    <i>
      <x v="14"/>
    </i>
    <i>
      <x v="2"/>
    </i>
    <i>
      <x v="17"/>
    </i>
    <i>
      <x v="1"/>
    </i>
    <i>
      <x v="7"/>
    </i>
    <i>
      <x v="18"/>
    </i>
    <i>
      <x v="5"/>
    </i>
    <i>
      <x v="15"/>
    </i>
    <i>
      <x v="10"/>
    </i>
    <i t="grand">
      <x/>
    </i>
  </rowItems>
  <colItems count="1">
    <i/>
  </colItems>
  <dataFields count="1">
    <dataField name="Sum of Net Income" fld="12" baseField="0" baseItem="0" numFmtId="166"/>
  </dataFields>
  <chartFormats count="1">
    <chartFormat chart="3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A1F65B7-7B69-4971-A4DB-1B3D96B6054B}" name="PivotTable6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 chartFormat="7">
  <location ref="B71:C91" firstHeaderRow="1" firstDataRow="1" firstDataCol="1"/>
  <pivotFields count="15"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sortType="descending">
      <items count="20">
        <item x="13"/>
        <item x="5"/>
        <item x="16"/>
        <item x="18"/>
        <item x="14"/>
        <item x="15"/>
        <item x="6"/>
        <item x="0"/>
        <item x="11"/>
        <item x="12"/>
        <item x="1"/>
        <item x="10"/>
        <item x="2"/>
        <item x="17"/>
        <item x="9"/>
        <item x="3"/>
        <item x="4"/>
        <item x="8"/>
        <item x="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9" outline="0" showAll="0"/>
  </pivotFields>
  <rowFields count="1">
    <field x="4"/>
  </rowFields>
  <rowItems count="20">
    <i>
      <x v="10"/>
    </i>
    <i>
      <x v="15"/>
    </i>
    <i>
      <x v="17"/>
    </i>
    <i>
      <x v="8"/>
    </i>
    <i>
      <x v="9"/>
    </i>
    <i>
      <x v="12"/>
    </i>
    <i>
      <x v="14"/>
    </i>
    <i>
      <x v="5"/>
    </i>
    <i>
      <x v="11"/>
    </i>
    <i>
      <x v="18"/>
    </i>
    <i>
      <x v="7"/>
    </i>
    <i>
      <x v="1"/>
    </i>
    <i>
      <x v="4"/>
    </i>
    <i>
      <x v="6"/>
    </i>
    <i>
      <x/>
    </i>
    <i>
      <x v="13"/>
    </i>
    <i>
      <x v="2"/>
    </i>
    <i>
      <x v="16"/>
    </i>
    <i>
      <x v="3"/>
    </i>
    <i t="grand">
      <x/>
    </i>
  </rowItems>
  <colItems count="1">
    <i/>
  </colItems>
  <dataFields count="1">
    <dataField name="Sum of COGS" fld="8" baseField="0" baseItem="0" numFmtId="166"/>
  </dataFields>
  <chartFormats count="1">
    <chartFormat chart="6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BC2AFC8-887D-4EBF-ADDF-D9A7E8058582}" name="PivotTable5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 chartFormat="10">
  <location ref="B49:C69" firstHeaderRow="1" firstDataRow="1" firstDataCol="1"/>
  <pivotFields count="15"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sortType="descending">
      <items count="20">
        <item x="13"/>
        <item x="5"/>
        <item x="16"/>
        <item x="18"/>
        <item x="14"/>
        <item x="15"/>
        <item x="6"/>
        <item x="0"/>
        <item x="11"/>
        <item x="12"/>
        <item x="1"/>
        <item x="10"/>
        <item x="2"/>
        <item x="17"/>
        <item x="9"/>
        <item x="3"/>
        <item x="4"/>
        <item x="8"/>
        <item x="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9" outline="0" showAll="0"/>
  </pivotFields>
  <rowFields count="1">
    <field x="4"/>
  </rowFields>
  <rowItems count="20">
    <i>
      <x v="10"/>
    </i>
    <i>
      <x v="15"/>
    </i>
    <i>
      <x v="17"/>
    </i>
    <i>
      <x v="8"/>
    </i>
    <i>
      <x v="9"/>
    </i>
    <i>
      <x v="14"/>
    </i>
    <i>
      <x v="12"/>
    </i>
    <i>
      <x v="5"/>
    </i>
    <i>
      <x v="11"/>
    </i>
    <i>
      <x v="7"/>
    </i>
    <i>
      <x v="1"/>
    </i>
    <i>
      <x v="18"/>
    </i>
    <i>
      <x v="6"/>
    </i>
    <i>
      <x v="4"/>
    </i>
    <i>
      <x v="2"/>
    </i>
    <i>
      <x/>
    </i>
    <i>
      <x v="13"/>
    </i>
    <i>
      <x v="3"/>
    </i>
    <i>
      <x v="16"/>
    </i>
    <i t="grand">
      <x/>
    </i>
  </rowItems>
  <colItems count="1">
    <i/>
  </colItems>
  <dataFields count="1">
    <dataField name="Sum of Revenue" fld="7" baseField="0" baseItem="0" numFmtId="166"/>
  </dataFields>
  <chartFormats count="1">
    <chartFormat chart="9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62F2C0-DEF5-48F7-818A-CD2433A292EB}" name="PivotTable4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 chartFormat="7">
  <location ref="B27:C47" firstHeaderRow="1" firstDataRow="1" firstDataCol="1"/>
  <pivotFields count="15"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sortType="ascending">
      <items count="20">
        <item x="13"/>
        <item x="5"/>
        <item x="16"/>
        <item x="18"/>
        <item x="14"/>
        <item x="15"/>
        <item x="6"/>
        <item x="0"/>
        <item x="11"/>
        <item x="12"/>
        <item x="1"/>
        <item x="10"/>
        <item x="2"/>
        <item x="17"/>
        <item x="9"/>
        <item x="3"/>
        <item x="4"/>
        <item x="8"/>
        <item x="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numFmtId="9" outline="0" showAll="0"/>
  </pivotFields>
  <rowFields count="1">
    <field x="4"/>
  </rowFields>
  <rowItems count="20">
    <i>
      <x v="9"/>
    </i>
    <i>
      <x v="11"/>
    </i>
    <i>
      <x v="13"/>
    </i>
    <i>
      <x v="16"/>
    </i>
    <i>
      <x v="8"/>
    </i>
    <i>
      <x v="3"/>
    </i>
    <i>
      <x/>
    </i>
    <i>
      <x v="4"/>
    </i>
    <i>
      <x v="6"/>
    </i>
    <i>
      <x v="17"/>
    </i>
    <i>
      <x v="18"/>
    </i>
    <i>
      <x v="1"/>
    </i>
    <i>
      <x v="2"/>
    </i>
    <i>
      <x v="14"/>
    </i>
    <i>
      <x v="12"/>
    </i>
    <i>
      <x v="7"/>
    </i>
    <i>
      <x v="5"/>
    </i>
    <i>
      <x v="15"/>
    </i>
    <i>
      <x v="10"/>
    </i>
    <i t="grand">
      <x/>
    </i>
  </rowItems>
  <colItems count="1">
    <i/>
  </colItems>
  <dataFields count="1">
    <dataField name="Sum of Operating Income" fld="11" baseField="0" baseItem="0" numFmtId="166"/>
  </dataFields>
  <chartFormats count="2">
    <chartFormat chart="6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0">
      <pivotArea type="data" outline="0" fieldPosition="0">
        <references count="2">
          <reference field="4294967294" count="1" selected="0">
            <x v="0"/>
          </reference>
          <reference field="4" count="1" selected="0">
            <x v="9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64646C5-10B7-4024-BD78-A98DFEEA48D3}" name="PivotTable8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 chartFormat="4">
  <location ref="B93:C113" firstHeaderRow="1" firstDataRow="1" firstDataCol="1"/>
  <pivotFields count="15"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sortType="descending">
      <items count="20">
        <item x="13"/>
        <item x="5"/>
        <item x="16"/>
        <item x="18"/>
        <item x="14"/>
        <item x="15"/>
        <item x="6"/>
        <item x="0"/>
        <item x="11"/>
        <item x="12"/>
        <item x="1"/>
        <item x="10"/>
        <item x="2"/>
        <item x="17"/>
        <item x="9"/>
        <item x="3"/>
        <item x="4"/>
        <item x="8"/>
        <item x="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numFmtId="9" outline="0" showAll="0"/>
  </pivotFields>
  <rowFields count="1">
    <field x="4"/>
  </rowFields>
  <rowItems count="20">
    <i>
      <x v="10"/>
    </i>
    <i>
      <x v="15"/>
    </i>
    <i>
      <x v="5"/>
    </i>
    <i>
      <x v="18"/>
    </i>
    <i>
      <x v="7"/>
    </i>
    <i>
      <x v="1"/>
    </i>
    <i>
      <x v="17"/>
    </i>
    <i>
      <x v="2"/>
    </i>
    <i>
      <x v="14"/>
    </i>
    <i>
      <x v="12"/>
    </i>
    <i>
      <x v="3"/>
    </i>
    <i>
      <x v="6"/>
    </i>
    <i>
      <x/>
    </i>
    <i>
      <x v="4"/>
    </i>
    <i>
      <x v="16"/>
    </i>
    <i>
      <x v="13"/>
    </i>
    <i>
      <x v="11"/>
    </i>
    <i>
      <x v="8"/>
    </i>
    <i>
      <x v="9"/>
    </i>
    <i t="grand">
      <x/>
    </i>
  </rowItems>
  <colItems count="1">
    <i/>
  </colItems>
  <dataFields count="1">
    <dataField name="Sum of Net Income" fld="12" baseField="0" baseItem="0" numFmtId="166"/>
  </dataFields>
  <chartFormats count="1">
    <chartFormat chart="3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309733A-EFC5-4275-BE27-B3740391D22B}" name="Table1" displayName="Table1" ref="B2:Q207" totalsRowShown="0" headerRowDxfId="64" dataDxfId="63" tableBorderDxfId="62" dataCellStyle="Input">
  <autoFilter ref="B2:Q207" xr:uid="{5309733A-EFC5-4275-BE27-B3740391D22B}"/>
  <tableColumns count="16">
    <tableColumn id="1" xr3:uid="{5A020B77-41C7-4DE0-8973-450C505545DA}" name="Year" dataDxfId="61" dataCellStyle="Input"/>
    <tableColumn id="2" xr3:uid="{4A12D4F6-F95E-49BC-AE15-8DBD0144C75A}" name="Smstr" dataDxfId="60" dataCellStyle="Input"/>
    <tableColumn id="3" xr3:uid="{B6A7FBBE-DF70-404B-825E-9A7B2AF8FDA2}" name="#" dataDxfId="59" dataCellStyle="Input"/>
    <tableColumn id="4" xr3:uid="{D2431C11-8E09-435E-A696-C873FFB0462E}" name="Company Name" dataDxfId="58" dataCellStyle="Input"/>
    <tableColumn id="5" xr3:uid="{ACB6C477-2994-429F-8C14-CEFED0E03D07}" name="Primary Location" dataDxfId="57" dataCellStyle="Input"/>
    <tableColumn id="6" xr3:uid="{4E7053C1-5646-46F7-8514-D9CA13C1CF02}" name="Rent/Domain Amount _x000a_for Primary Location" dataDxfId="56" dataCellStyle="Input"/>
    <tableColumn id="7" xr3:uid="{878BE992-80E4-41E0-9ECC-B60526F6B60A}" name="Description" dataDxfId="55" dataCellStyle="Input"/>
    <tableColumn id="8" xr3:uid="{C45DCFA5-AA76-4FBB-A7B5-3AD356CC0B21}" name="Revenue" dataDxfId="54" dataCellStyle="Input"/>
    <tableColumn id="9" xr3:uid="{A9C8D0F7-8FF7-4A1C-856A-CD0C59022FB0}" name="COGS" dataDxfId="53" dataCellStyle="Input"/>
    <tableColumn id="10" xr3:uid="{23197A3F-2B4C-4A8E-8C93-1105243E89E5}" name="Gross Profit" dataDxfId="52" dataCellStyle="Input"/>
    <tableColumn id="16" xr3:uid="{78E5ADEE-1D80-4C5D-90AB-D13C08E3E5FE}" name="Gross Margin" dataDxfId="51" dataCellStyle="Percent">
      <calculatedColumnFormula>IF(Table1[[#This Row],[Gross Profit]]&lt;&gt;0,Table1[[#This Row],[Gross Profit]]/Table1[[#This Row],[Revenue]],"")</calculatedColumnFormula>
    </tableColumn>
    <tableColumn id="11" xr3:uid="{535CFF0A-4B40-422D-B706-6480B70D4212}" name="Operating Expenses" dataDxfId="50" dataCellStyle="Input"/>
    <tableColumn id="12" xr3:uid="{451833F6-3B00-4AE9-8586-6A912289DB04}" name="Operating Income" dataDxfId="49" dataCellStyle="Input"/>
    <tableColumn id="13" xr3:uid="{7D727BF9-8F1A-4239-AFF9-EC3EEDF006BB}" name="Net Income" dataDxfId="48" dataCellStyle="Input"/>
    <tableColumn id="14" xr3:uid="{B929491D-77CF-4454-B938-EA9376F32A2E}" name="Ending Cash Balance" dataDxfId="47" dataCellStyle="Input"/>
    <tableColumn id="15" xr3:uid="{E65D75FF-E89C-4EA4-8EFD-66DDC321B717}" name="Net Income Margin" dataDxfId="46" dataCellStyle="Percent">
      <calculatedColumnFormula>IFERROR(O3/I3,0)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7.xml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Relationship Id="rId5" Type="http://schemas.openxmlformats.org/officeDocument/2006/relationships/pivotTable" Target="../pivotTables/pivotTable9.xml"/><Relationship Id="rId4" Type="http://schemas.openxmlformats.org/officeDocument/2006/relationships/pivotTable" Target="../pivotTables/pivot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79CADC-6B64-4553-9009-547D8943BA79}">
  <sheetPr codeName="Sheet3">
    <tabColor theme="5" tint="-0.249977111117893"/>
  </sheetPr>
  <dimension ref="A1:T209"/>
  <sheetViews>
    <sheetView showGridLines="0" zoomScale="76" zoomScaleNormal="100" workbookViewId="0">
      <pane ySplit="2" topLeftCell="A3" activePane="bottomLeft" state="frozen"/>
      <selection activeCell="K1" sqref="K1"/>
      <selection pane="bottomLeft" activeCell="F15" sqref="F15"/>
    </sheetView>
  </sheetViews>
  <sheetFormatPr defaultColWidth="9.1796875" defaultRowHeight="14.5" x14ac:dyDescent="0.35"/>
  <cols>
    <col min="1" max="1" width="3.26953125" customWidth="1"/>
    <col min="5" max="5" width="24.453125" customWidth="1"/>
    <col min="6" max="6" width="20.7265625" customWidth="1"/>
    <col min="7" max="7" width="23" customWidth="1"/>
    <col min="8" max="8" width="45.7265625" customWidth="1"/>
    <col min="9" max="9" width="11.1796875" customWidth="1"/>
    <col min="10" max="10" width="9.453125" bestFit="1" customWidth="1"/>
    <col min="11" max="11" width="12.453125" bestFit="1" customWidth="1"/>
    <col min="12" max="12" width="12.453125" style="236" customWidth="1"/>
    <col min="13" max="13" width="11.7265625" bestFit="1" customWidth="1"/>
    <col min="14" max="14" width="12" bestFit="1" customWidth="1"/>
    <col min="15" max="15" width="11.1796875" bestFit="1" customWidth="1"/>
    <col min="16" max="16" width="11.7265625" bestFit="1" customWidth="1"/>
    <col min="17" max="17" width="11.453125" bestFit="1" customWidth="1"/>
    <col min="20" max="20" width="53.26953125" customWidth="1"/>
  </cols>
  <sheetData>
    <row r="1" spans="1:20" x14ac:dyDescent="0.35">
      <c r="A1" s="237" t="s">
        <v>0</v>
      </c>
      <c r="B1" s="238"/>
      <c r="C1" s="238"/>
      <c r="D1" s="238"/>
      <c r="E1" s="238"/>
      <c r="F1" s="3"/>
      <c r="G1" s="3"/>
      <c r="H1" s="3"/>
      <c r="I1" s="3"/>
      <c r="J1" s="3"/>
      <c r="K1" s="3"/>
      <c r="L1" s="198"/>
      <c r="M1" s="3"/>
      <c r="N1" s="3"/>
      <c r="O1" s="3"/>
      <c r="P1" s="3"/>
      <c r="Q1" s="3"/>
      <c r="R1" s="3"/>
      <c r="S1" s="3"/>
      <c r="T1" s="3"/>
    </row>
    <row r="2" spans="1:20" ht="29" x14ac:dyDescent="0.35">
      <c r="A2" s="3"/>
      <c r="B2" s="194" t="s">
        <v>1</v>
      </c>
      <c r="C2" s="194" t="s">
        <v>2</v>
      </c>
      <c r="D2" s="194" t="s">
        <v>3</v>
      </c>
      <c r="E2" s="194" t="s">
        <v>4</v>
      </c>
      <c r="F2" s="194" t="s">
        <v>5</v>
      </c>
      <c r="G2" s="195" t="s">
        <v>6</v>
      </c>
      <c r="H2" s="194" t="s">
        <v>7</v>
      </c>
      <c r="I2" s="195" t="s">
        <v>8</v>
      </c>
      <c r="J2" s="195" t="s">
        <v>9</v>
      </c>
      <c r="K2" s="195" t="s">
        <v>10</v>
      </c>
      <c r="L2" s="199" t="s">
        <v>477</v>
      </c>
      <c r="M2" s="195" t="s">
        <v>11</v>
      </c>
      <c r="N2" s="195" t="s">
        <v>12</v>
      </c>
      <c r="O2" s="195" t="s">
        <v>13</v>
      </c>
      <c r="P2" s="195" t="s">
        <v>14</v>
      </c>
      <c r="Q2" s="196" t="s">
        <v>15</v>
      </c>
      <c r="R2" s="3"/>
      <c r="S2" s="3"/>
      <c r="T2" s="3"/>
    </row>
    <row r="3" spans="1:20" ht="15.5" x14ac:dyDescent="0.35">
      <c r="A3" s="9"/>
      <c r="B3" s="103">
        <v>2015</v>
      </c>
      <c r="C3" s="103" t="s">
        <v>16</v>
      </c>
      <c r="D3" s="103" t="s">
        <v>17</v>
      </c>
      <c r="E3" s="103" t="s">
        <v>18</v>
      </c>
      <c r="F3" s="103" t="s">
        <v>19</v>
      </c>
      <c r="G3" s="103"/>
      <c r="H3" s="103" t="s">
        <v>20</v>
      </c>
      <c r="I3" s="103"/>
      <c r="J3" s="103"/>
      <c r="K3" s="103"/>
      <c r="L3" s="200" t="str">
        <f>IF(Table1[[#This Row],[Gross Profit]]&lt;&gt;0,Table1[[#This Row],[Gross Profit]]/Table1[[#This Row],[Revenue]],"")</f>
        <v/>
      </c>
      <c r="M3" s="103"/>
      <c r="N3" s="103"/>
      <c r="O3" s="103"/>
      <c r="P3" s="103"/>
      <c r="Q3" s="6">
        <f t="shared" ref="Q3:Q34" si="0">IFERROR(O3/I3,0)</f>
        <v>0</v>
      </c>
      <c r="R3" s="7"/>
      <c r="S3" s="8"/>
      <c r="T3" s="8"/>
    </row>
    <row r="4" spans="1:20" ht="15.5" x14ac:dyDescent="0.35">
      <c r="A4" s="3"/>
      <c r="B4" s="5">
        <v>2015</v>
      </c>
      <c r="C4" s="5" t="s">
        <v>16</v>
      </c>
      <c r="D4" s="5" t="s">
        <v>21</v>
      </c>
      <c r="E4" s="5" t="s">
        <v>22</v>
      </c>
      <c r="F4" s="5" t="s">
        <v>23</v>
      </c>
      <c r="G4" s="5"/>
      <c r="H4" s="5" t="s">
        <v>24</v>
      </c>
      <c r="I4" s="10">
        <v>9718</v>
      </c>
      <c r="J4" s="10">
        <v>3778</v>
      </c>
      <c r="K4" s="10">
        <v>5940</v>
      </c>
      <c r="L4" s="201">
        <f>IF(Table1[[#This Row],[Gross Profit]]&lt;&gt;0,Table1[[#This Row],[Gross Profit]]/Table1[[#This Row],[Revenue]],"")</f>
        <v>0.61123688001646426</v>
      </c>
      <c r="M4" s="10">
        <v>13443</v>
      </c>
      <c r="N4" s="10">
        <v>-7502</v>
      </c>
      <c r="O4" s="10">
        <v>-7502</v>
      </c>
      <c r="P4" s="10">
        <v>2363</v>
      </c>
      <c r="Q4" s="6">
        <f t="shared" si="0"/>
        <v>-0.77196954105783078</v>
      </c>
      <c r="R4" s="7"/>
      <c r="S4" s="8"/>
      <c r="T4" s="8"/>
    </row>
    <row r="5" spans="1:20" ht="15.5" x14ac:dyDescent="0.35">
      <c r="A5" s="9"/>
      <c r="B5" s="5">
        <v>2015</v>
      </c>
      <c r="C5" s="5" t="s">
        <v>16</v>
      </c>
      <c r="D5" s="5" t="s">
        <v>25</v>
      </c>
      <c r="E5" s="5" t="s">
        <v>26</v>
      </c>
      <c r="F5" s="5" t="s">
        <v>27</v>
      </c>
      <c r="G5" s="5"/>
      <c r="H5" s="5" t="s">
        <v>28</v>
      </c>
      <c r="I5" s="10">
        <v>11868</v>
      </c>
      <c r="J5" s="10">
        <v>5993</v>
      </c>
      <c r="K5" s="10">
        <v>5874</v>
      </c>
      <c r="L5" s="201">
        <f>IF(Table1[[#This Row],[Gross Profit]]&lt;&gt;0,Table1[[#This Row],[Gross Profit]]/Table1[[#This Row],[Revenue]],"")</f>
        <v>0.49494438827098081</v>
      </c>
      <c r="M5" s="10">
        <v>1322</v>
      </c>
      <c r="N5" s="10">
        <v>4543</v>
      </c>
      <c r="O5" s="10">
        <v>3861</v>
      </c>
      <c r="P5" s="10">
        <v>1459</v>
      </c>
      <c r="Q5" s="6">
        <f t="shared" si="0"/>
        <v>0.32532861476238623</v>
      </c>
      <c r="R5" s="7"/>
      <c r="S5" s="8"/>
      <c r="T5" s="8"/>
    </row>
    <row r="6" spans="1:20" ht="15.5" x14ac:dyDescent="0.35">
      <c r="A6" s="9"/>
      <c r="B6" s="5">
        <v>2015</v>
      </c>
      <c r="C6" s="5" t="s">
        <v>16</v>
      </c>
      <c r="D6" s="5" t="s">
        <v>29</v>
      </c>
      <c r="E6" s="5" t="s">
        <v>30</v>
      </c>
      <c r="F6" s="5" t="s">
        <v>27</v>
      </c>
      <c r="G6" s="5"/>
      <c r="H6" s="5" t="s">
        <v>28</v>
      </c>
      <c r="I6" s="10">
        <v>13589</v>
      </c>
      <c r="J6" s="10">
        <v>5910</v>
      </c>
      <c r="K6" s="10">
        <v>7679</v>
      </c>
      <c r="L6" s="201">
        <f>IF(Table1[[#This Row],[Gross Profit]]&lt;&gt;0,Table1[[#This Row],[Gross Profit]]/Table1[[#This Row],[Revenue]],"")</f>
        <v>0.56508941055265283</v>
      </c>
      <c r="M6" s="10">
        <v>5909</v>
      </c>
      <c r="N6" s="10">
        <v>1770</v>
      </c>
      <c r="O6" s="10">
        <v>1770</v>
      </c>
      <c r="P6" s="5"/>
      <c r="Q6" s="6">
        <f t="shared" si="0"/>
        <v>0.13025241003753035</v>
      </c>
      <c r="R6" s="7"/>
      <c r="S6" s="8"/>
      <c r="T6" s="8"/>
    </row>
    <row r="7" spans="1:20" ht="15.5" x14ac:dyDescent="0.35">
      <c r="A7" s="3"/>
      <c r="B7" s="5">
        <v>2015</v>
      </c>
      <c r="C7" s="5" t="s">
        <v>16</v>
      </c>
      <c r="D7" s="5" t="s">
        <v>31</v>
      </c>
      <c r="E7" s="5"/>
      <c r="F7" s="5"/>
      <c r="G7" s="5"/>
      <c r="H7" s="5"/>
      <c r="I7" s="5"/>
      <c r="J7" s="5"/>
      <c r="K7" s="5"/>
      <c r="L7" s="201" t="str">
        <f>IF(Table1[[#This Row],[Gross Profit]]&lt;&gt;0,Table1[[#This Row],[Gross Profit]]/Table1[[#This Row],[Revenue]],"")</f>
        <v/>
      </c>
      <c r="M7" s="5"/>
      <c r="N7" s="5"/>
      <c r="O7" s="5"/>
      <c r="P7" s="5"/>
      <c r="Q7" s="6">
        <f t="shared" si="0"/>
        <v>0</v>
      </c>
      <c r="R7" s="7"/>
      <c r="S7" s="8"/>
      <c r="T7" s="8"/>
    </row>
    <row r="8" spans="1:20" ht="15.5" x14ac:dyDescent="0.35">
      <c r="A8" s="9"/>
      <c r="B8" s="5">
        <v>2015</v>
      </c>
      <c r="C8" s="5" t="s">
        <v>16</v>
      </c>
      <c r="D8" s="5" t="s">
        <v>32</v>
      </c>
      <c r="E8" s="5" t="s">
        <v>33</v>
      </c>
      <c r="F8" s="5" t="s">
        <v>34</v>
      </c>
      <c r="G8" s="5"/>
      <c r="H8" s="5" t="s">
        <v>35</v>
      </c>
      <c r="I8" s="10">
        <v>5135</v>
      </c>
      <c r="J8" s="5"/>
      <c r="K8" s="5"/>
      <c r="L8" s="201" t="str">
        <f>IF(Table1[[#This Row],[Gross Profit]]&lt;&gt;0,Table1[[#This Row],[Gross Profit]]/Table1[[#This Row],[Revenue]],"")</f>
        <v/>
      </c>
      <c r="M8" s="5"/>
      <c r="N8" s="5"/>
      <c r="O8" s="10">
        <v>2411</v>
      </c>
      <c r="P8" s="5"/>
      <c r="Q8" s="6">
        <f t="shared" si="0"/>
        <v>0.46952288218111005</v>
      </c>
      <c r="R8" s="7"/>
      <c r="S8" s="8"/>
      <c r="T8" s="8"/>
    </row>
    <row r="9" spans="1:20" ht="15.5" x14ac:dyDescent="0.35">
      <c r="A9" s="9"/>
      <c r="B9" s="11">
        <v>2015</v>
      </c>
      <c r="C9" s="11" t="s">
        <v>36</v>
      </c>
      <c r="D9" s="11" t="s">
        <v>17</v>
      </c>
      <c r="E9" s="11"/>
      <c r="F9" s="11"/>
      <c r="G9" s="11"/>
      <c r="H9" s="11"/>
      <c r="I9" s="11"/>
      <c r="J9" s="11"/>
      <c r="K9" s="11"/>
      <c r="L9" s="202" t="str">
        <f>IF(Table1[[#This Row],[Gross Profit]]&lt;&gt;0,Table1[[#This Row],[Gross Profit]]/Table1[[#This Row],[Revenue]],"")</f>
        <v/>
      </c>
      <c r="M9" s="11"/>
      <c r="N9" s="11"/>
      <c r="O9" s="11"/>
      <c r="P9" s="11"/>
      <c r="Q9" s="6">
        <f t="shared" si="0"/>
        <v>0</v>
      </c>
      <c r="R9" s="239" t="s">
        <v>37</v>
      </c>
      <c r="S9" s="238"/>
      <c r="T9" s="8"/>
    </row>
    <row r="10" spans="1:20" x14ac:dyDescent="0.35">
      <c r="A10" s="3"/>
      <c r="B10" s="11">
        <v>2015</v>
      </c>
      <c r="C10" s="11" t="s">
        <v>36</v>
      </c>
      <c r="D10" s="11" t="s">
        <v>21</v>
      </c>
      <c r="E10" s="11"/>
      <c r="F10" s="11"/>
      <c r="G10" s="11"/>
      <c r="H10" s="11"/>
      <c r="I10" s="11"/>
      <c r="J10" s="11"/>
      <c r="K10" s="11"/>
      <c r="L10" s="202" t="str">
        <f>IF(Table1[[#This Row],[Gross Profit]]&lt;&gt;0,Table1[[#This Row],[Gross Profit]]/Table1[[#This Row],[Revenue]],"")</f>
        <v/>
      </c>
      <c r="M10" s="11"/>
      <c r="N10" s="11"/>
      <c r="O10" s="11"/>
      <c r="P10" s="11"/>
      <c r="Q10" s="6">
        <f t="shared" si="0"/>
        <v>0</v>
      </c>
      <c r="R10" s="4" t="s">
        <v>1</v>
      </c>
      <c r="S10" s="4" t="s">
        <v>38</v>
      </c>
      <c r="T10" s="4" t="s">
        <v>39</v>
      </c>
    </row>
    <row r="11" spans="1:20" x14ac:dyDescent="0.35">
      <c r="A11" s="9"/>
      <c r="B11" s="11">
        <v>2015</v>
      </c>
      <c r="C11" s="11" t="s">
        <v>36</v>
      </c>
      <c r="D11" s="11" t="s">
        <v>25</v>
      </c>
      <c r="E11" s="11"/>
      <c r="F11" s="11"/>
      <c r="G11" s="11"/>
      <c r="H11" s="11"/>
      <c r="I11" s="11"/>
      <c r="J11" s="11"/>
      <c r="K11" s="11"/>
      <c r="L11" s="202" t="str">
        <f>IF(Table1[[#This Row],[Gross Profit]]&lt;&gt;0,Table1[[#This Row],[Gross Profit]]/Table1[[#This Row],[Revenue]],"")</f>
        <v/>
      </c>
      <c r="M11" s="11"/>
      <c r="N11" s="11"/>
      <c r="O11" s="11"/>
      <c r="P11" s="11"/>
      <c r="Q11" s="6">
        <f t="shared" si="0"/>
        <v>0</v>
      </c>
      <c r="R11" s="12">
        <v>2016</v>
      </c>
      <c r="S11" s="13" t="s">
        <v>16</v>
      </c>
      <c r="T11" s="13" t="s">
        <v>40</v>
      </c>
    </row>
    <row r="12" spans="1:20" x14ac:dyDescent="0.35">
      <c r="A12" s="9"/>
      <c r="B12" s="11">
        <v>2015</v>
      </c>
      <c r="C12" s="11" t="s">
        <v>36</v>
      </c>
      <c r="D12" s="11" t="s">
        <v>29</v>
      </c>
      <c r="E12" s="11"/>
      <c r="F12" s="11"/>
      <c r="G12" s="11"/>
      <c r="H12" s="11"/>
      <c r="I12" s="11"/>
      <c r="J12" s="11"/>
      <c r="K12" s="11"/>
      <c r="L12" s="202" t="str">
        <f>IF(Table1[[#This Row],[Gross Profit]]&lt;&gt;0,Table1[[#This Row],[Gross Profit]]/Table1[[#This Row],[Revenue]],"")</f>
        <v/>
      </c>
      <c r="M12" s="11"/>
      <c r="N12" s="11"/>
      <c r="O12" s="11"/>
      <c r="P12" s="11"/>
      <c r="Q12" s="6">
        <f t="shared" si="0"/>
        <v>0</v>
      </c>
      <c r="R12" s="12">
        <v>2016</v>
      </c>
      <c r="S12" s="13" t="s">
        <v>36</v>
      </c>
      <c r="T12" s="13" t="s">
        <v>40</v>
      </c>
    </row>
    <row r="13" spans="1:20" x14ac:dyDescent="0.35">
      <c r="A13" s="3"/>
      <c r="B13" s="11">
        <v>2015</v>
      </c>
      <c r="C13" s="11" t="s">
        <v>36</v>
      </c>
      <c r="D13" s="11" t="s">
        <v>31</v>
      </c>
      <c r="E13" s="11" t="s">
        <v>41</v>
      </c>
      <c r="F13" s="11"/>
      <c r="G13" s="11"/>
      <c r="H13" s="11" t="s">
        <v>42</v>
      </c>
      <c r="I13" s="14">
        <v>16625</v>
      </c>
      <c r="J13" s="14">
        <v>8353</v>
      </c>
      <c r="K13" s="14">
        <v>8272</v>
      </c>
      <c r="L13" s="202">
        <f>IF(Table1[[#This Row],[Gross Profit]]&lt;&gt;0,Table1[[#This Row],[Gross Profit]]/Table1[[#This Row],[Revenue]],"")</f>
        <v>0.4975639097744361</v>
      </c>
      <c r="M13" s="14">
        <v>1809</v>
      </c>
      <c r="N13" s="14">
        <v>6462</v>
      </c>
      <c r="O13" s="14">
        <v>6462</v>
      </c>
      <c r="P13" s="11"/>
      <c r="Q13" s="6">
        <f t="shared" si="0"/>
        <v>0.38869172932330825</v>
      </c>
      <c r="R13" s="12">
        <v>2016</v>
      </c>
      <c r="S13" s="13" t="s">
        <v>43</v>
      </c>
      <c r="T13" s="13" t="s">
        <v>44</v>
      </c>
    </row>
    <row r="14" spans="1:20" x14ac:dyDescent="0.35">
      <c r="A14" s="9"/>
      <c r="B14" s="11">
        <v>2015</v>
      </c>
      <c r="C14" s="11" t="s">
        <v>36</v>
      </c>
      <c r="D14" s="11" t="s">
        <v>32</v>
      </c>
      <c r="E14" s="11"/>
      <c r="F14" s="11"/>
      <c r="G14" s="11"/>
      <c r="H14" s="11"/>
      <c r="I14" s="11"/>
      <c r="J14" s="11"/>
      <c r="K14" s="11"/>
      <c r="L14" s="202" t="str">
        <f>IF(Table1[[#This Row],[Gross Profit]]&lt;&gt;0,Table1[[#This Row],[Gross Profit]]/Table1[[#This Row],[Revenue]],"")</f>
        <v/>
      </c>
      <c r="M14" s="11"/>
      <c r="N14" s="11"/>
      <c r="O14" s="11"/>
      <c r="P14" s="11"/>
      <c r="Q14" s="6">
        <f t="shared" si="0"/>
        <v>0</v>
      </c>
      <c r="R14" s="12">
        <v>2017</v>
      </c>
      <c r="S14" s="13" t="s">
        <v>16</v>
      </c>
      <c r="T14" s="13" t="s">
        <v>45</v>
      </c>
    </row>
    <row r="15" spans="1:20" x14ac:dyDescent="0.35">
      <c r="A15" s="9"/>
      <c r="B15" s="11">
        <v>2015</v>
      </c>
      <c r="C15" s="11" t="s">
        <v>36</v>
      </c>
      <c r="D15" s="11" t="s">
        <v>46</v>
      </c>
      <c r="E15" s="11"/>
      <c r="F15" s="11"/>
      <c r="G15" s="11"/>
      <c r="H15" s="11"/>
      <c r="I15" s="11"/>
      <c r="J15" s="11"/>
      <c r="K15" s="11"/>
      <c r="L15" s="202" t="str">
        <f>IF(Table1[[#This Row],[Gross Profit]]&lt;&gt;0,Table1[[#This Row],[Gross Profit]]/Table1[[#This Row],[Revenue]],"")</f>
        <v/>
      </c>
      <c r="M15" s="11"/>
      <c r="N15" s="11"/>
      <c r="O15" s="11"/>
      <c r="P15" s="11"/>
      <c r="Q15" s="6">
        <f t="shared" si="0"/>
        <v>0</v>
      </c>
      <c r="R15" s="12">
        <v>2017</v>
      </c>
      <c r="S15" s="13" t="s">
        <v>36</v>
      </c>
      <c r="T15" s="13" t="s">
        <v>47</v>
      </c>
    </row>
    <row r="16" spans="1:20" x14ac:dyDescent="0.35">
      <c r="A16" s="3"/>
      <c r="B16" s="15">
        <v>2015</v>
      </c>
      <c r="C16" s="15" t="s">
        <v>43</v>
      </c>
      <c r="D16" s="15" t="s">
        <v>17</v>
      </c>
      <c r="E16" s="15" t="s">
        <v>48</v>
      </c>
      <c r="F16" s="15" t="s">
        <v>49</v>
      </c>
      <c r="G16" s="15"/>
      <c r="H16" s="15" t="s">
        <v>50</v>
      </c>
      <c r="I16" s="15"/>
      <c r="J16" s="15"/>
      <c r="K16" s="15"/>
      <c r="L16" s="203" t="str">
        <f>IF(Table1[[#This Row],[Gross Profit]]&lt;&gt;0,Table1[[#This Row],[Gross Profit]]/Table1[[#This Row],[Revenue]],"")</f>
        <v/>
      </c>
      <c r="M16" s="15"/>
      <c r="N16" s="15"/>
      <c r="O16" s="15"/>
      <c r="P16" s="15"/>
      <c r="Q16" s="6">
        <f t="shared" si="0"/>
        <v>0</v>
      </c>
      <c r="R16" s="12">
        <v>2018</v>
      </c>
      <c r="S16" s="13" t="s">
        <v>16</v>
      </c>
      <c r="T16" s="13" t="s">
        <v>51</v>
      </c>
    </row>
    <row r="17" spans="1:20" x14ac:dyDescent="0.35">
      <c r="A17" s="9"/>
      <c r="B17" s="15">
        <v>2015</v>
      </c>
      <c r="C17" s="15" t="s">
        <v>43</v>
      </c>
      <c r="D17" s="15" t="s">
        <v>21</v>
      </c>
      <c r="E17" s="15" t="s">
        <v>52</v>
      </c>
      <c r="F17" s="15" t="s">
        <v>23</v>
      </c>
      <c r="G17" s="15"/>
      <c r="H17" s="15" t="s">
        <v>50</v>
      </c>
      <c r="I17" s="15"/>
      <c r="J17" s="15"/>
      <c r="K17" s="15"/>
      <c r="L17" s="203" t="str">
        <f>IF(Table1[[#This Row],[Gross Profit]]&lt;&gt;0,Table1[[#This Row],[Gross Profit]]/Table1[[#This Row],[Revenue]],"")</f>
        <v/>
      </c>
      <c r="M17" s="15"/>
      <c r="N17" s="15"/>
      <c r="O17" s="15"/>
      <c r="P17" s="15"/>
      <c r="Q17" s="6">
        <f t="shared" si="0"/>
        <v>0</v>
      </c>
      <c r="R17" s="12">
        <v>2018</v>
      </c>
      <c r="S17" s="13" t="s">
        <v>36</v>
      </c>
      <c r="T17" s="13" t="s">
        <v>53</v>
      </c>
    </row>
    <row r="18" spans="1:20" x14ac:dyDescent="0.35">
      <c r="A18" s="9"/>
      <c r="B18" s="15">
        <v>2015</v>
      </c>
      <c r="C18" s="15" t="s">
        <v>43</v>
      </c>
      <c r="D18" s="15" t="s">
        <v>25</v>
      </c>
      <c r="E18" s="15" t="s">
        <v>54</v>
      </c>
      <c r="F18" s="15" t="s">
        <v>27</v>
      </c>
      <c r="G18" s="15"/>
      <c r="H18" s="15" t="s">
        <v>55</v>
      </c>
      <c r="I18" s="15"/>
      <c r="J18" s="15"/>
      <c r="K18" s="15"/>
      <c r="L18" s="203" t="str">
        <f>IF(Table1[[#This Row],[Gross Profit]]&lt;&gt;0,Table1[[#This Row],[Gross Profit]]/Table1[[#This Row],[Revenue]],"")</f>
        <v/>
      </c>
      <c r="M18" s="15"/>
      <c r="N18" s="15"/>
      <c r="O18" s="15"/>
      <c r="P18" s="15"/>
      <c r="Q18" s="6">
        <f t="shared" si="0"/>
        <v>0</v>
      </c>
      <c r="R18" s="12">
        <v>2018</v>
      </c>
      <c r="S18" s="13" t="s">
        <v>43</v>
      </c>
      <c r="T18" s="13" t="s">
        <v>51</v>
      </c>
    </row>
    <row r="19" spans="1:20" x14ac:dyDescent="0.35">
      <c r="A19" s="3"/>
      <c r="B19" s="15">
        <v>2015</v>
      </c>
      <c r="C19" s="15" t="s">
        <v>43</v>
      </c>
      <c r="D19" s="15" t="s">
        <v>29</v>
      </c>
      <c r="E19" s="15" t="s">
        <v>56</v>
      </c>
      <c r="F19" s="15" t="s">
        <v>27</v>
      </c>
      <c r="G19" s="15"/>
      <c r="H19" s="15" t="s">
        <v>55</v>
      </c>
      <c r="I19" s="15"/>
      <c r="J19" s="15"/>
      <c r="K19" s="15"/>
      <c r="L19" s="203" t="str">
        <f>IF(Table1[[#This Row],[Gross Profit]]&lt;&gt;0,Table1[[#This Row],[Gross Profit]]/Table1[[#This Row],[Revenue]],"")</f>
        <v/>
      </c>
      <c r="M19" s="15"/>
      <c r="N19" s="15"/>
      <c r="O19" s="15"/>
      <c r="P19" s="15"/>
      <c r="Q19" s="6">
        <f t="shared" si="0"/>
        <v>0</v>
      </c>
      <c r="R19" s="12">
        <v>2019</v>
      </c>
      <c r="S19" s="13" t="s">
        <v>16</v>
      </c>
      <c r="T19" s="13" t="s">
        <v>51</v>
      </c>
    </row>
    <row r="20" spans="1:20" x14ac:dyDescent="0.35">
      <c r="A20" s="9"/>
      <c r="B20" s="15">
        <v>2015</v>
      </c>
      <c r="C20" s="15" t="s">
        <v>43</v>
      </c>
      <c r="D20" s="15" t="s">
        <v>31</v>
      </c>
      <c r="E20" s="15" t="s">
        <v>57</v>
      </c>
      <c r="F20" s="15" t="s">
        <v>58</v>
      </c>
      <c r="G20" s="15"/>
      <c r="H20" s="15" t="s">
        <v>50</v>
      </c>
      <c r="I20" s="15"/>
      <c r="J20" s="15"/>
      <c r="K20" s="15"/>
      <c r="L20" s="203" t="str">
        <f>IF(Table1[[#This Row],[Gross Profit]]&lt;&gt;0,Table1[[#This Row],[Gross Profit]]/Table1[[#This Row],[Revenue]],"")</f>
        <v/>
      </c>
      <c r="M20" s="15"/>
      <c r="N20" s="15"/>
      <c r="O20" s="15"/>
      <c r="P20" s="15"/>
      <c r="Q20" s="6">
        <f t="shared" si="0"/>
        <v>0</v>
      </c>
      <c r="R20" s="12">
        <v>2019</v>
      </c>
      <c r="S20" s="13" t="s">
        <v>36</v>
      </c>
      <c r="T20" s="13" t="s">
        <v>51</v>
      </c>
    </row>
    <row r="21" spans="1:20" x14ac:dyDescent="0.35">
      <c r="A21" s="9"/>
      <c r="B21" s="15">
        <v>2015</v>
      </c>
      <c r="C21" s="15" t="s">
        <v>43</v>
      </c>
      <c r="D21" s="15" t="s">
        <v>32</v>
      </c>
      <c r="E21" s="15" t="s">
        <v>59</v>
      </c>
      <c r="F21" s="15" t="s">
        <v>19</v>
      </c>
      <c r="G21" s="15"/>
      <c r="H21" s="15" t="s">
        <v>60</v>
      </c>
      <c r="I21" s="15"/>
      <c r="J21" s="15"/>
      <c r="K21" s="15"/>
      <c r="L21" s="203" t="str">
        <f>IF(Table1[[#This Row],[Gross Profit]]&lt;&gt;0,Table1[[#This Row],[Gross Profit]]/Table1[[#This Row],[Revenue]],"")</f>
        <v/>
      </c>
      <c r="M21" s="15"/>
      <c r="N21" s="15"/>
      <c r="O21" s="15"/>
      <c r="P21" s="15"/>
      <c r="Q21" s="6">
        <f t="shared" si="0"/>
        <v>0</v>
      </c>
      <c r="R21" s="12">
        <v>2019</v>
      </c>
      <c r="S21" s="13" t="s">
        <v>43</v>
      </c>
      <c r="T21" s="13" t="s">
        <v>51</v>
      </c>
    </row>
    <row r="22" spans="1:20" x14ac:dyDescent="0.35">
      <c r="A22" s="3"/>
      <c r="B22" s="15">
        <v>2015</v>
      </c>
      <c r="C22" s="15" t="s">
        <v>43</v>
      </c>
      <c r="D22" s="15" t="s">
        <v>46</v>
      </c>
      <c r="E22" s="15" t="s">
        <v>61</v>
      </c>
      <c r="F22" s="15" t="s">
        <v>62</v>
      </c>
      <c r="G22" s="15"/>
      <c r="H22" s="15" t="s">
        <v>63</v>
      </c>
      <c r="I22" s="15"/>
      <c r="J22" s="15"/>
      <c r="K22" s="15"/>
      <c r="L22" s="203" t="str">
        <f>IF(Table1[[#This Row],[Gross Profit]]&lt;&gt;0,Table1[[#This Row],[Gross Profit]]/Table1[[#This Row],[Revenue]],"")</f>
        <v/>
      </c>
      <c r="M22" s="15"/>
      <c r="N22" s="15"/>
      <c r="O22" s="15"/>
      <c r="P22" s="15"/>
      <c r="Q22" s="6">
        <f t="shared" si="0"/>
        <v>0</v>
      </c>
      <c r="R22" s="12">
        <v>2021</v>
      </c>
      <c r="S22" s="13" t="s">
        <v>36</v>
      </c>
      <c r="T22" s="13" t="s">
        <v>64</v>
      </c>
    </row>
    <row r="23" spans="1:20" x14ac:dyDescent="0.35">
      <c r="A23" s="9"/>
      <c r="B23" s="15">
        <v>2015</v>
      </c>
      <c r="C23" s="15" t="s">
        <v>43</v>
      </c>
      <c r="D23" s="15" t="s">
        <v>65</v>
      </c>
      <c r="E23" s="15" t="s">
        <v>66</v>
      </c>
      <c r="F23" s="15" t="s">
        <v>27</v>
      </c>
      <c r="G23" s="15"/>
      <c r="H23" s="15" t="s">
        <v>67</v>
      </c>
      <c r="I23" s="15"/>
      <c r="J23" s="15"/>
      <c r="K23" s="15"/>
      <c r="L23" s="203" t="str">
        <f>IF(Table1[[#This Row],[Gross Profit]]&lt;&gt;0,Table1[[#This Row],[Gross Profit]]/Table1[[#This Row],[Revenue]],"")</f>
        <v/>
      </c>
      <c r="M23" s="15"/>
      <c r="N23" s="15"/>
      <c r="O23" s="15"/>
      <c r="P23" s="15"/>
      <c r="Q23" s="6">
        <f t="shared" si="0"/>
        <v>0</v>
      </c>
      <c r="R23" s="12">
        <v>2022</v>
      </c>
      <c r="S23" s="13" t="s">
        <v>16</v>
      </c>
      <c r="T23" s="13" t="s">
        <v>68</v>
      </c>
    </row>
    <row r="24" spans="1:20" x14ac:dyDescent="0.35">
      <c r="A24" s="9"/>
      <c r="B24" s="16">
        <v>2016</v>
      </c>
      <c r="C24" s="16" t="s">
        <v>16</v>
      </c>
      <c r="D24" s="16" t="s">
        <v>17</v>
      </c>
      <c r="E24" s="16"/>
      <c r="F24" s="16" t="s">
        <v>49</v>
      </c>
      <c r="G24" s="16"/>
      <c r="H24" s="16" t="s">
        <v>69</v>
      </c>
      <c r="I24" s="17">
        <v>20480</v>
      </c>
      <c r="J24" s="17">
        <v>10072</v>
      </c>
      <c r="K24" s="17">
        <v>10408</v>
      </c>
      <c r="L24" s="204">
        <f>IF(Table1[[#This Row],[Gross Profit]]&lt;&gt;0,Table1[[#This Row],[Gross Profit]]/Table1[[#This Row],[Revenue]],"")</f>
        <v>0.50820312499999998</v>
      </c>
      <c r="M24" s="17">
        <v>8000</v>
      </c>
      <c r="N24" s="17">
        <v>7795</v>
      </c>
      <c r="O24" s="17">
        <v>1629</v>
      </c>
      <c r="P24" s="16"/>
      <c r="Q24" s="6">
        <f t="shared" si="0"/>
        <v>7.9541015625000003E-2</v>
      </c>
      <c r="R24" s="3"/>
      <c r="S24" s="3"/>
      <c r="T24" s="3"/>
    </row>
    <row r="25" spans="1:20" x14ac:dyDescent="0.35">
      <c r="A25" s="3"/>
      <c r="B25" s="16">
        <v>2016</v>
      </c>
      <c r="C25" s="16" t="s">
        <v>16</v>
      </c>
      <c r="D25" s="16" t="s">
        <v>21</v>
      </c>
      <c r="E25" s="16"/>
      <c r="F25" s="16" t="s">
        <v>27</v>
      </c>
      <c r="G25" s="16"/>
      <c r="H25" s="16" t="s">
        <v>70</v>
      </c>
      <c r="I25" s="17">
        <v>11552</v>
      </c>
      <c r="J25" s="17">
        <v>5400</v>
      </c>
      <c r="K25" s="17">
        <v>6152</v>
      </c>
      <c r="L25" s="204">
        <f>IF(Table1[[#This Row],[Gross Profit]]&lt;&gt;0,Table1[[#This Row],[Gross Profit]]/Table1[[#This Row],[Revenue]],"")</f>
        <v>0.5325484764542936</v>
      </c>
      <c r="M25" s="17">
        <v>5099</v>
      </c>
      <c r="N25" s="17">
        <v>1053</v>
      </c>
      <c r="O25" s="17">
        <v>677</v>
      </c>
      <c r="P25" s="16"/>
      <c r="Q25" s="6">
        <f t="shared" si="0"/>
        <v>5.8604570637119116E-2</v>
      </c>
      <c r="R25" s="3"/>
      <c r="S25" s="3"/>
      <c r="T25" s="3"/>
    </row>
    <row r="26" spans="1:20" x14ac:dyDescent="0.35">
      <c r="A26" s="9"/>
      <c r="B26" s="16">
        <v>2016</v>
      </c>
      <c r="C26" s="16" t="s">
        <v>16</v>
      </c>
      <c r="D26" s="16" t="s">
        <v>25</v>
      </c>
      <c r="E26" s="16"/>
      <c r="F26" s="16" t="s">
        <v>23</v>
      </c>
      <c r="G26" s="16"/>
      <c r="H26" s="16" t="s">
        <v>71</v>
      </c>
      <c r="I26" s="17">
        <v>18509</v>
      </c>
      <c r="J26" s="17">
        <v>9200</v>
      </c>
      <c r="K26" s="17">
        <v>9309</v>
      </c>
      <c r="L26" s="204">
        <f>IF(Table1[[#This Row],[Gross Profit]]&lt;&gt;0,Table1[[#This Row],[Gross Profit]]/Table1[[#This Row],[Revenue]],"")</f>
        <v>0.50294451347992863</v>
      </c>
      <c r="M26" s="17">
        <v>11348</v>
      </c>
      <c r="N26" s="17">
        <v>-2039</v>
      </c>
      <c r="O26" s="17">
        <v>-1474</v>
      </c>
      <c r="P26" s="16"/>
      <c r="Q26" s="6">
        <f t="shared" si="0"/>
        <v>-7.9636933383759254E-2</v>
      </c>
      <c r="R26" s="3"/>
      <c r="S26" s="3"/>
      <c r="T26" s="18">
        <f>MAX(O24:O181)</f>
        <v>9213</v>
      </c>
    </row>
    <row r="27" spans="1:20" x14ac:dyDescent="0.35">
      <c r="A27" s="9"/>
      <c r="B27" s="16">
        <v>2016</v>
      </c>
      <c r="C27" s="16" t="s">
        <v>16</v>
      </c>
      <c r="D27" s="16" t="s">
        <v>29</v>
      </c>
      <c r="E27" s="16"/>
      <c r="F27" s="16" t="s">
        <v>27</v>
      </c>
      <c r="G27" s="16"/>
      <c r="H27" s="16" t="s">
        <v>55</v>
      </c>
      <c r="I27" s="17">
        <v>8464</v>
      </c>
      <c r="J27" s="17">
        <v>5435</v>
      </c>
      <c r="K27" s="17">
        <v>3029</v>
      </c>
      <c r="L27" s="204">
        <f>IF(Table1[[#This Row],[Gross Profit]]&lt;&gt;0,Table1[[#This Row],[Gross Profit]]/Table1[[#This Row],[Revenue]],"")</f>
        <v>0.35786862003780717</v>
      </c>
      <c r="M27" s="17">
        <v>2702</v>
      </c>
      <c r="N27" s="17">
        <v>327</v>
      </c>
      <c r="O27" s="17">
        <v>151</v>
      </c>
      <c r="P27" s="16"/>
      <c r="Q27" s="6">
        <f t="shared" si="0"/>
        <v>1.7840264650283554E-2</v>
      </c>
      <c r="R27" s="3"/>
      <c r="S27" s="81" t="s">
        <v>72</v>
      </c>
      <c r="T27" s="3"/>
    </row>
    <row r="28" spans="1:20" x14ac:dyDescent="0.35">
      <c r="A28" s="3"/>
      <c r="B28" s="16">
        <v>2016</v>
      </c>
      <c r="C28" s="16" t="s">
        <v>16</v>
      </c>
      <c r="D28" s="16" t="s">
        <v>31</v>
      </c>
      <c r="E28" s="16" t="s">
        <v>73</v>
      </c>
      <c r="F28" s="16" t="s">
        <v>27</v>
      </c>
      <c r="G28" s="16"/>
      <c r="H28" s="16" t="s">
        <v>55</v>
      </c>
      <c r="I28" s="17">
        <v>14021</v>
      </c>
      <c r="J28" s="17">
        <v>6392</v>
      </c>
      <c r="K28" s="17">
        <v>7629</v>
      </c>
      <c r="L28" s="204">
        <f>IF(Table1[[#This Row],[Gross Profit]]&lt;&gt;0,Table1[[#This Row],[Gross Profit]]/Table1[[#This Row],[Revenue]],"")</f>
        <v>0.54411240282433493</v>
      </c>
      <c r="M28" s="17">
        <v>4217</v>
      </c>
      <c r="N28" s="17">
        <v>3412</v>
      </c>
      <c r="O28" s="17">
        <v>2282</v>
      </c>
      <c r="P28" s="16"/>
      <c r="Q28" s="6">
        <f t="shared" si="0"/>
        <v>0.16275586620069896</v>
      </c>
      <c r="S28" s="2" t="s">
        <v>74</v>
      </c>
      <c r="T28" s="3"/>
    </row>
    <row r="29" spans="1:20" x14ac:dyDescent="0.35">
      <c r="A29" s="9"/>
      <c r="B29" s="16">
        <v>2016</v>
      </c>
      <c r="C29" s="16" t="s">
        <v>16</v>
      </c>
      <c r="D29" s="16" t="s">
        <v>32</v>
      </c>
      <c r="E29" s="16"/>
      <c r="F29" s="16" t="s">
        <v>62</v>
      </c>
      <c r="G29" s="16"/>
      <c r="H29" s="16" t="s">
        <v>75</v>
      </c>
      <c r="I29" s="17">
        <v>8151</v>
      </c>
      <c r="J29" s="17">
        <v>3388</v>
      </c>
      <c r="K29" s="17">
        <v>4763</v>
      </c>
      <c r="L29" s="204">
        <f>IF(Table1[[#This Row],[Gross Profit]]&lt;&gt;0,Table1[[#This Row],[Gross Profit]]/Table1[[#This Row],[Revenue]],"")</f>
        <v>0.58434547908232115</v>
      </c>
      <c r="M29" s="17">
        <v>5642</v>
      </c>
      <c r="N29" s="17">
        <v>-879</v>
      </c>
      <c r="O29" s="17">
        <v>-785</v>
      </c>
      <c r="P29" s="16"/>
      <c r="Q29" s="6">
        <f t="shared" si="0"/>
        <v>-9.6307201570359463E-2</v>
      </c>
      <c r="S29" cm="1">
        <f t="array" ref="S29:S49">_xlfn.UNIQUE(F1:F189)</f>
        <v>0</v>
      </c>
      <c r="T29" s="3"/>
    </row>
    <row r="30" spans="1:20" x14ac:dyDescent="0.35">
      <c r="A30" s="9"/>
      <c r="B30" s="16">
        <v>2016</v>
      </c>
      <c r="C30" s="16" t="s">
        <v>16</v>
      </c>
      <c r="D30" s="16" t="s">
        <v>46</v>
      </c>
      <c r="E30" s="16" t="s">
        <v>76</v>
      </c>
      <c r="F30" s="16" t="s">
        <v>19</v>
      </c>
      <c r="G30" s="16"/>
      <c r="H30" s="16" t="s">
        <v>77</v>
      </c>
      <c r="I30" s="17">
        <v>16195</v>
      </c>
      <c r="J30" s="17">
        <v>4536</v>
      </c>
      <c r="K30" s="17">
        <v>11659</v>
      </c>
      <c r="L30" s="204">
        <f>IF(Table1[[#This Row],[Gross Profit]]&lt;&gt;0,Table1[[#This Row],[Gross Profit]]/Table1[[#This Row],[Revenue]],"")</f>
        <v>0.71991355356591535</v>
      </c>
      <c r="M30" s="17">
        <v>7312</v>
      </c>
      <c r="N30" s="17">
        <v>4347</v>
      </c>
      <c r="O30" s="17">
        <v>2917</v>
      </c>
      <c r="P30" s="16"/>
      <c r="Q30" s="6">
        <f t="shared" si="0"/>
        <v>0.18011732016054338</v>
      </c>
      <c r="S30" s="3" t="str">
        <v>Primary Location</v>
      </c>
      <c r="T30" s="3"/>
    </row>
    <row r="31" spans="1:20" x14ac:dyDescent="0.35">
      <c r="A31" s="3"/>
      <c r="B31" s="16">
        <v>2016</v>
      </c>
      <c r="C31" s="16" t="s">
        <v>16</v>
      </c>
      <c r="D31" s="16" t="s">
        <v>65</v>
      </c>
      <c r="E31" s="16"/>
      <c r="F31" s="16" t="s">
        <v>23</v>
      </c>
      <c r="G31" s="16"/>
      <c r="H31" s="16" t="s">
        <v>78</v>
      </c>
      <c r="I31" s="17">
        <v>808</v>
      </c>
      <c r="J31" s="17">
        <v>0</v>
      </c>
      <c r="K31" s="17">
        <v>808</v>
      </c>
      <c r="L31" s="204">
        <f>IF(Table1[[#This Row],[Gross Profit]]&lt;&gt;0,Table1[[#This Row],[Gross Profit]]/Table1[[#This Row],[Revenue]],"")</f>
        <v>1</v>
      </c>
      <c r="M31" s="17">
        <v>458</v>
      </c>
      <c r="N31" s="17">
        <v>350</v>
      </c>
      <c r="O31" s="17">
        <v>-17</v>
      </c>
      <c r="P31" s="16"/>
      <c r="Q31" s="6">
        <f t="shared" si="0"/>
        <v>-2.1039603960396041E-2</v>
      </c>
      <c r="S31" s="3" t="str">
        <v>Smith</v>
      </c>
      <c r="T31" s="3"/>
    </row>
    <row r="32" spans="1:20" x14ac:dyDescent="0.35">
      <c r="A32" s="9"/>
      <c r="B32" s="16">
        <v>2016</v>
      </c>
      <c r="C32" s="16" t="s">
        <v>16</v>
      </c>
      <c r="D32" s="16" t="s">
        <v>79</v>
      </c>
      <c r="E32" s="16"/>
      <c r="F32" s="16" t="s">
        <v>58</v>
      </c>
      <c r="G32" s="16"/>
      <c r="H32" s="16" t="s">
        <v>80</v>
      </c>
      <c r="I32" s="17">
        <v>2013</v>
      </c>
      <c r="J32" s="17">
        <v>1639</v>
      </c>
      <c r="K32" s="17">
        <v>374</v>
      </c>
      <c r="L32" s="204">
        <f>IF(Table1[[#This Row],[Gross Profit]]&lt;&gt;0,Table1[[#This Row],[Gross Profit]]/Table1[[#This Row],[Revenue]],"")</f>
        <v>0.18579234972677597</v>
      </c>
      <c r="M32" s="17">
        <v>210</v>
      </c>
      <c r="N32" s="17">
        <v>164</v>
      </c>
      <c r="O32" s="17">
        <v>36</v>
      </c>
      <c r="P32" s="16"/>
      <c r="Q32" s="6">
        <f t="shared" si="0"/>
        <v>1.7883755588673621E-2</v>
      </c>
      <c r="S32" s="3" t="str">
        <v>Library Ampitheatre</v>
      </c>
      <c r="T32" s="3"/>
    </row>
    <row r="33" spans="1:20" x14ac:dyDescent="0.35">
      <c r="A33" s="9"/>
      <c r="B33" s="15">
        <v>2016</v>
      </c>
      <c r="C33" s="15" t="s">
        <v>36</v>
      </c>
      <c r="D33" s="15" t="s">
        <v>17</v>
      </c>
      <c r="E33" s="15" t="s">
        <v>81</v>
      </c>
      <c r="F33" s="15" t="s">
        <v>49</v>
      </c>
      <c r="G33" s="15"/>
      <c r="H33" s="15" t="s">
        <v>20</v>
      </c>
      <c r="I33" s="141">
        <v>16171</v>
      </c>
      <c r="J33" s="19">
        <v>6340</v>
      </c>
      <c r="K33" s="19">
        <v>9340</v>
      </c>
      <c r="L33" s="203">
        <f>IF(Table1[[#This Row],[Gross Profit]]&lt;&gt;0,Table1[[#This Row],[Gross Profit]]/Table1[[#This Row],[Revenue]],"")</f>
        <v>0.57757714427060791</v>
      </c>
      <c r="M33" s="19">
        <v>6704</v>
      </c>
      <c r="N33" s="19">
        <v>2636</v>
      </c>
      <c r="O33" s="19">
        <v>1779</v>
      </c>
      <c r="P33" s="15"/>
      <c r="Q33" s="6">
        <f t="shared" si="0"/>
        <v>0.11001174942798837</v>
      </c>
      <c r="S33" s="3" t="str">
        <v>MC</v>
      </c>
      <c r="T33" s="3"/>
    </row>
    <row r="34" spans="1:20" x14ac:dyDescent="0.35">
      <c r="A34" s="3"/>
      <c r="B34" s="15">
        <v>2016</v>
      </c>
      <c r="C34" s="15" t="s">
        <v>36</v>
      </c>
      <c r="D34" s="15" t="s">
        <v>21</v>
      </c>
      <c r="E34" s="15" t="s">
        <v>82</v>
      </c>
      <c r="F34" s="15" t="s">
        <v>83</v>
      </c>
      <c r="G34" s="15"/>
      <c r="H34" s="15" t="s">
        <v>84</v>
      </c>
      <c r="I34" s="19">
        <v>13360</v>
      </c>
      <c r="J34" s="19">
        <v>2326</v>
      </c>
      <c r="K34" s="19">
        <v>11033</v>
      </c>
      <c r="L34" s="203">
        <f>IF(Table1[[#This Row],[Gross Profit]]&lt;&gt;0,Table1[[#This Row],[Gross Profit]]/Table1[[#This Row],[Revenue]],"")</f>
        <v>0.82582335329341316</v>
      </c>
      <c r="M34" s="19">
        <v>4853</v>
      </c>
      <c r="N34" s="19">
        <v>6181</v>
      </c>
      <c r="O34" s="19">
        <v>4285</v>
      </c>
      <c r="P34" s="15"/>
      <c r="Q34" s="6">
        <f t="shared" si="0"/>
        <v>0.32073353293413176</v>
      </c>
      <c r="S34" s="3" t="str">
        <v>Clark</v>
      </c>
      <c r="T34" s="3"/>
    </row>
    <row r="35" spans="1:20" x14ac:dyDescent="0.35">
      <c r="A35" s="9"/>
      <c r="B35" s="15">
        <v>2016</v>
      </c>
      <c r="C35" s="15" t="s">
        <v>36</v>
      </c>
      <c r="D35" s="15" t="s">
        <v>25</v>
      </c>
      <c r="E35" s="15" t="s">
        <v>85</v>
      </c>
      <c r="F35" s="15" t="s">
        <v>23</v>
      </c>
      <c r="G35" s="15"/>
      <c r="H35" s="15" t="s">
        <v>86</v>
      </c>
      <c r="I35" s="19">
        <v>10192</v>
      </c>
      <c r="J35" s="19">
        <v>2708</v>
      </c>
      <c r="K35" s="19">
        <v>7484</v>
      </c>
      <c r="L35" s="203">
        <f>IF(Table1[[#This Row],[Gross Profit]]&lt;&gt;0,Table1[[#This Row],[Gross Profit]]/Table1[[#This Row],[Revenue]],"")</f>
        <v>0.73430141287284145</v>
      </c>
      <c r="M35" s="19">
        <v>9802</v>
      </c>
      <c r="N35" s="19">
        <v>-2317</v>
      </c>
      <c r="O35" s="19">
        <v>-3159</v>
      </c>
      <c r="P35" s="15"/>
      <c r="Q35" s="6">
        <f t="shared" ref="Q35:Q66" si="1">IFERROR(O35/I35,0)</f>
        <v>-0.30994897959183676</v>
      </c>
      <c r="S35" s="3" t="str">
        <v>Kimball</v>
      </c>
      <c r="T35" s="3"/>
    </row>
    <row r="36" spans="1:20" x14ac:dyDescent="0.35">
      <c r="A36" s="9"/>
      <c r="B36" s="15">
        <v>2016</v>
      </c>
      <c r="C36" s="15" t="s">
        <v>36</v>
      </c>
      <c r="D36" s="15" t="s">
        <v>29</v>
      </c>
      <c r="E36" s="15" t="s">
        <v>87</v>
      </c>
      <c r="F36" s="15" t="s">
        <v>27</v>
      </c>
      <c r="G36" s="15"/>
      <c r="H36" s="15" t="s">
        <v>55</v>
      </c>
      <c r="I36" s="19">
        <v>17489</v>
      </c>
      <c r="J36" s="19">
        <v>5864</v>
      </c>
      <c r="K36" s="19">
        <v>11348</v>
      </c>
      <c r="L36" s="203">
        <f>IF(Table1[[#This Row],[Gross Profit]]&lt;&gt;0,Table1[[#This Row],[Gross Profit]]/Table1[[#This Row],[Revenue]],"")</f>
        <v>0.64886500085768195</v>
      </c>
      <c r="M36" s="19">
        <v>6462</v>
      </c>
      <c r="N36" s="19">
        <v>4886</v>
      </c>
      <c r="O36" s="19">
        <v>3310</v>
      </c>
      <c r="P36" s="15"/>
      <c r="Q36" s="6">
        <f t="shared" si="1"/>
        <v>0.18926182171650752</v>
      </c>
      <c r="S36" s="3" t="str">
        <v>Online</v>
      </c>
      <c r="T36" s="3"/>
    </row>
    <row r="37" spans="1:20" x14ac:dyDescent="0.35">
      <c r="A37" s="3"/>
      <c r="B37" s="15">
        <v>2016</v>
      </c>
      <c r="C37" s="15" t="s">
        <v>36</v>
      </c>
      <c r="D37" s="15" t="s">
        <v>31</v>
      </c>
      <c r="E37" s="15" t="s">
        <v>88</v>
      </c>
      <c r="F37" s="15" t="s">
        <v>19</v>
      </c>
      <c r="G37" s="15"/>
      <c r="H37" s="15" t="s">
        <v>89</v>
      </c>
      <c r="I37" s="19">
        <v>20288</v>
      </c>
      <c r="J37" s="19">
        <v>8197</v>
      </c>
      <c r="K37" s="19">
        <v>12091</v>
      </c>
      <c r="L37" s="203">
        <f>IF(Table1[[#This Row],[Gross Profit]]&lt;&gt;0,Table1[[#This Row],[Gross Profit]]/Table1[[#This Row],[Revenue]],"")</f>
        <v>0.59596805993690849</v>
      </c>
      <c r="M37" s="19">
        <v>11657</v>
      </c>
      <c r="N37" s="19">
        <v>434</v>
      </c>
      <c r="O37" s="19">
        <v>239</v>
      </c>
      <c r="P37" s="15"/>
      <c r="Q37" s="6">
        <f t="shared" si="1"/>
        <v>1.1780362776025236E-2</v>
      </c>
      <c r="S37" s="3" t="str">
        <v>Ricks</v>
      </c>
      <c r="T37" s="3"/>
    </row>
    <row r="38" spans="1:20" x14ac:dyDescent="0.35">
      <c r="A38" s="9"/>
      <c r="B38" s="15">
        <v>2016</v>
      </c>
      <c r="C38" s="15" t="s">
        <v>36</v>
      </c>
      <c r="D38" s="15" t="s">
        <v>32</v>
      </c>
      <c r="E38" s="15" t="s">
        <v>90</v>
      </c>
      <c r="F38" s="15" t="s">
        <v>23</v>
      </c>
      <c r="G38" s="15"/>
      <c r="H38" s="15" t="s">
        <v>91</v>
      </c>
      <c r="I38" s="19">
        <v>6748</v>
      </c>
      <c r="J38" s="19">
        <v>2772</v>
      </c>
      <c r="K38" s="19">
        <v>3975</v>
      </c>
      <c r="L38" s="203">
        <f>IF(Table1[[#This Row],[Gross Profit]]&lt;&gt;0,Table1[[#This Row],[Gross Profit]]/Table1[[#This Row],[Revenue]],"")</f>
        <v>0.58906342620035568</v>
      </c>
      <c r="M38" s="19">
        <v>7649</v>
      </c>
      <c r="N38" s="19">
        <v>-3674</v>
      </c>
      <c r="O38" s="19">
        <v>-2732</v>
      </c>
      <c r="P38" s="15"/>
      <c r="Q38" s="6">
        <f t="shared" si="1"/>
        <v>-0.4048606994665086</v>
      </c>
      <c r="S38" s="3" t="str">
        <v>By the Stadium</v>
      </c>
      <c r="T38" s="3"/>
    </row>
    <row r="39" spans="1:20" x14ac:dyDescent="0.35">
      <c r="A39" s="9"/>
      <c r="B39" s="20">
        <v>2016</v>
      </c>
      <c r="C39" s="20" t="s">
        <v>43</v>
      </c>
      <c r="D39" s="20" t="s">
        <v>17</v>
      </c>
      <c r="E39" s="20" t="s">
        <v>92</v>
      </c>
      <c r="F39" s="20" t="s">
        <v>27</v>
      </c>
      <c r="G39" s="20"/>
      <c r="H39" s="20" t="s">
        <v>93</v>
      </c>
      <c r="I39" s="21">
        <v>12696</v>
      </c>
      <c r="J39" s="21">
        <v>3408</v>
      </c>
      <c r="K39" s="21">
        <v>9288</v>
      </c>
      <c r="L39" s="205">
        <f>IF(Table1[[#This Row],[Gross Profit]]&lt;&gt;0,Table1[[#This Row],[Gross Profit]]/Table1[[#This Row],[Revenue]],"")</f>
        <v>0.73156899810964082</v>
      </c>
      <c r="M39" s="21">
        <v>5240</v>
      </c>
      <c r="N39" s="21">
        <v>4048</v>
      </c>
      <c r="O39" s="21">
        <v>2789</v>
      </c>
      <c r="P39" s="21">
        <v>7501</v>
      </c>
      <c r="Q39" s="6">
        <f t="shared" si="1"/>
        <v>0.21967548834278514</v>
      </c>
      <c r="S39" s="3" t="str">
        <v>STC</v>
      </c>
      <c r="T39" s="3"/>
    </row>
    <row r="40" spans="1:20" x14ac:dyDescent="0.35">
      <c r="A40" s="3"/>
      <c r="B40" s="20">
        <v>2016</v>
      </c>
      <c r="C40" s="20" t="s">
        <v>43</v>
      </c>
      <c r="D40" s="20" t="s">
        <v>21</v>
      </c>
      <c r="E40" s="20" t="s">
        <v>94</v>
      </c>
      <c r="F40" s="20" t="s">
        <v>23</v>
      </c>
      <c r="G40" s="20"/>
      <c r="H40" s="20" t="s">
        <v>95</v>
      </c>
      <c r="I40" s="21">
        <v>6779</v>
      </c>
      <c r="J40" s="21">
        <v>3751</v>
      </c>
      <c r="K40" s="21">
        <v>3028</v>
      </c>
      <c r="L40" s="205">
        <f>IF(Table1[[#This Row],[Gross Profit]]&lt;&gt;0,Table1[[#This Row],[Gross Profit]]/Table1[[#This Row],[Revenue]],"")</f>
        <v>0.44667355067119047</v>
      </c>
      <c r="M40" s="21">
        <v>4163</v>
      </c>
      <c r="N40" s="21">
        <v>-1135</v>
      </c>
      <c r="O40" s="21">
        <v>-929</v>
      </c>
      <c r="P40" s="21">
        <v>1088</v>
      </c>
      <c r="Q40" s="6">
        <f t="shared" si="1"/>
        <v>-0.13704086148399469</v>
      </c>
      <c r="S40" s="3" t="str">
        <v>Crossroads</v>
      </c>
      <c r="T40" s="3"/>
    </row>
    <row r="41" spans="1:20" x14ac:dyDescent="0.35">
      <c r="A41" s="9"/>
      <c r="B41" s="20">
        <v>2016</v>
      </c>
      <c r="C41" s="20" t="s">
        <v>43</v>
      </c>
      <c r="D41" s="20" t="s">
        <v>25</v>
      </c>
      <c r="E41" s="20" t="s">
        <v>96</v>
      </c>
      <c r="F41" s="20" t="s">
        <v>97</v>
      </c>
      <c r="G41" s="20"/>
      <c r="H41" s="20" t="s">
        <v>98</v>
      </c>
      <c r="I41" s="21">
        <v>16508</v>
      </c>
      <c r="J41" s="21">
        <v>7689</v>
      </c>
      <c r="K41" s="21">
        <v>8819</v>
      </c>
      <c r="L41" s="205">
        <f>IF(Table1[[#This Row],[Gross Profit]]&lt;&gt;0,Table1[[#This Row],[Gross Profit]]/Table1[[#This Row],[Revenue]],"")</f>
        <v>0.53422582990065426</v>
      </c>
      <c r="M41" s="21">
        <v>10684</v>
      </c>
      <c r="N41" s="21">
        <v>-1685</v>
      </c>
      <c r="O41" s="21">
        <v>-1366</v>
      </c>
      <c r="P41" s="21">
        <v>5842</v>
      </c>
      <c r="Q41" s="6">
        <f t="shared" si="1"/>
        <v>-8.2747758662466683E-2</v>
      </c>
      <c r="S41" s="3" t="str">
        <v>Benson</v>
      </c>
      <c r="T41" s="3"/>
    </row>
    <row r="42" spans="1:20" x14ac:dyDescent="0.35">
      <c r="A42" s="9"/>
      <c r="B42" s="20">
        <v>2016</v>
      </c>
      <c r="C42" s="20" t="s">
        <v>43</v>
      </c>
      <c r="D42" s="20" t="s">
        <v>29</v>
      </c>
      <c r="E42" s="20" t="s">
        <v>99</v>
      </c>
      <c r="F42" s="20" t="s">
        <v>27</v>
      </c>
      <c r="G42" s="20"/>
      <c r="H42" s="20" t="s">
        <v>100</v>
      </c>
      <c r="I42" s="21">
        <v>10610</v>
      </c>
      <c r="J42" s="21">
        <v>3868</v>
      </c>
      <c r="K42" s="21">
        <v>6742</v>
      </c>
      <c r="L42" s="205">
        <f>IF(Table1[[#This Row],[Gross Profit]]&lt;&gt;0,Table1[[#This Row],[Gross Profit]]/Table1[[#This Row],[Revenue]],"")</f>
        <v>0.63543826578699336</v>
      </c>
      <c r="M42" s="21">
        <v>5411</v>
      </c>
      <c r="N42" s="21">
        <v>1331</v>
      </c>
      <c r="O42" s="21">
        <v>890</v>
      </c>
      <c r="P42" s="21">
        <v>3580</v>
      </c>
      <c r="Q42" s="6">
        <f t="shared" si="1"/>
        <v>8.3883129123468431E-2</v>
      </c>
      <c r="S42" s="3" t="str">
        <v>Courtyard</v>
      </c>
      <c r="T42" s="3"/>
    </row>
    <row r="43" spans="1:20" x14ac:dyDescent="0.35">
      <c r="A43" s="3"/>
      <c r="B43" s="20">
        <v>2016</v>
      </c>
      <c r="C43" s="20" t="s">
        <v>43</v>
      </c>
      <c r="D43" s="20" t="s">
        <v>31</v>
      </c>
      <c r="E43" s="20" t="s">
        <v>101</v>
      </c>
      <c r="F43" s="20" t="s">
        <v>27</v>
      </c>
      <c r="G43" s="20"/>
      <c r="H43" s="20" t="s">
        <v>55</v>
      </c>
      <c r="I43" s="21">
        <v>13990</v>
      </c>
      <c r="J43" s="21">
        <v>8377</v>
      </c>
      <c r="K43" s="21">
        <v>5613</v>
      </c>
      <c r="L43" s="205">
        <f>IF(Table1[[#This Row],[Gross Profit]]&lt;&gt;0,Table1[[#This Row],[Gross Profit]]/Table1[[#This Row],[Revenue]],"")</f>
        <v>0.40121515368120086</v>
      </c>
      <c r="M43" s="21">
        <v>6642</v>
      </c>
      <c r="N43" s="21">
        <v>-1030</v>
      </c>
      <c r="O43" s="21">
        <v>-816</v>
      </c>
      <c r="P43" s="21">
        <v>2759</v>
      </c>
      <c r="Q43" s="6">
        <f t="shared" si="1"/>
        <v>-5.8327376697641174E-2</v>
      </c>
      <c r="S43" s="3" t="str">
        <v>Austin</v>
      </c>
      <c r="T43" s="3"/>
    </row>
    <row r="44" spans="1:20" x14ac:dyDescent="0.35">
      <c r="A44" s="9"/>
      <c r="B44" s="20">
        <v>2016</v>
      </c>
      <c r="C44" s="20" t="s">
        <v>43</v>
      </c>
      <c r="D44" s="20" t="s">
        <v>32</v>
      </c>
      <c r="E44" s="20" t="s">
        <v>102</v>
      </c>
      <c r="F44" s="20" t="s">
        <v>27</v>
      </c>
      <c r="G44" s="20"/>
      <c r="H44" s="20" t="s">
        <v>103</v>
      </c>
      <c r="I44" s="21">
        <v>5467</v>
      </c>
      <c r="J44" s="21">
        <v>508</v>
      </c>
      <c r="K44" s="21">
        <v>4959</v>
      </c>
      <c r="L44" s="205">
        <f>IF(Table1[[#This Row],[Gross Profit]]&lt;&gt;0,Table1[[#This Row],[Gross Profit]]/Table1[[#This Row],[Revenue]],"")</f>
        <v>0.9070788366563014</v>
      </c>
      <c r="M44" s="21">
        <v>5090</v>
      </c>
      <c r="N44" s="21">
        <v>-131</v>
      </c>
      <c r="O44" s="21">
        <v>817</v>
      </c>
      <c r="P44" s="21">
        <v>3319</v>
      </c>
      <c r="Q44" s="6">
        <f t="shared" si="1"/>
        <v>0.14944210718858605</v>
      </c>
      <c r="S44" s="3" t="str">
        <v>Rotated</v>
      </c>
      <c r="T44" s="3"/>
    </row>
    <row r="45" spans="1:20" x14ac:dyDescent="0.35">
      <c r="A45" s="9"/>
      <c r="B45" s="20">
        <v>2016</v>
      </c>
      <c r="C45" s="20" t="s">
        <v>43</v>
      </c>
      <c r="D45" s="20" t="s">
        <v>46</v>
      </c>
      <c r="E45" s="20" t="s">
        <v>104</v>
      </c>
      <c r="F45" s="20" t="s">
        <v>49</v>
      </c>
      <c r="G45" s="20"/>
      <c r="H45" s="20" t="s">
        <v>105</v>
      </c>
      <c r="I45" s="21">
        <v>11539</v>
      </c>
      <c r="J45" s="21">
        <v>5324</v>
      </c>
      <c r="K45" s="21">
        <v>6214</v>
      </c>
      <c r="L45" s="205">
        <f>IF(Table1[[#This Row],[Gross Profit]]&lt;&gt;0,Table1[[#This Row],[Gross Profit]]/Table1[[#This Row],[Revenue]],"")</f>
        <v>0.53852153566166916</v>
      </c>
      <c r="M45" s="21">
        <v>6971</v>
      </c>
      <c r="N45" s="21">
        <v>-756</v>
      </c>
      <c r="O45" s="21">
        <v>-530</v>
      </c>
      <c r="P45" s="21">
        <v>3810</v>
      </c>
      <c r="Q45" s="6">
        <f t="shared" si="1"/>
        <v>-4.59311898778057E-2</v>
      </c>
      <c r="S45" s="3" t="str">
        <v>Outside</v>
      </c>
      <c r="T45" s="3"/>
    </row>
    <row r="46" spans="1:20" x14ac:dyDescent="0.35">
      <c r="A46" s="3"/>
      <c r="B46" s="20">
        <v>2016</v>
      </c>
      <c r="C46" s="20" t="s">
        <v>43</v>
      </c>
      <c r="D46" s="20" t="s">
        <v>65</v>
      </c>
      <c r="E46" s="20" t="s">
        <v>106</v>
      </c>
      <c r="F46" s="20" t="s">
        <v>27</v>
      </c>
      <c r="G46" s="20"/>
      <c r="H46" s="20" t="s">
        <v>55</v>
      </c>
      <c r="I46" s="21">
        <v>6246</v>
      </c>
      <c r="J46" s="21">
        <v>2327</v>
      </c>
      <c r="K46" s="21">
        <v>3919</v>
      </c>
      <c r="L46" s="205">
        <f>IF(Table1[[#This Row],[Gross Profit]]&lt;&gt;0,Table1[[#This Row],[Gross Profit]]/Table1[[#This Row],[Revenue]],"")</f>
        <v>0.62744156260006401</v>
      </c>
      <c r="M46" s="21">
        <v>4129</v>
      </c>
      <c r="N46" s="21">
        <v>-210</v>
      </c>
      <c r="O46" s="21">
        <v>-696</v>
      </c>
      <c r="P46" s="21">
        <v>1888</v>
      </c>
      <c r="Q46" s="6">
        <f t="shared" si="1"/>
        <v>-0.11143131604226705</v>
      </c>
      <c r="R46" s="3"/>
      <c r="S46" s="3" t="str">
        <v>Campus</v>
      </c>
      <c r="T46" s="3"/>
    </row>
    <row r="47" spans="1:20" x14ac:dyDescent="0.35">
      <c r="A47" s="9"/>
      <c r="B47" s="22">
        <v>2017</v>
      </c>
      <c r="C47" s="22" t="s">
        <v>16</v>
      </c>
      <c r="D47" s="22" t="s">
        <v>17</v>
      </c>
      <c r="E47" s="22" t="s">
        <v>107</v>
      </c>
      <c r="F47" s="22" t="s">
        <v>19</v>
      </c>
      <c r="G47" s="22"/>
      <c r="H47" s="22" t="s">
        <v>108</v>
      </c>
      <c r="I47" s="23">
        <v>15117</v>
      </c>
      <c r="J47" s="23">
        <v>4672</v>
      </c>
      <c r="K47" s="23">
        <v>10446</v>
      </c>
      <c r="L47" s="206">
        <f>IF(Table1[[#This Row],[Gross Profit]]&lt;&gt;0,Table1[[#This Row],[Gross Profit]]/Table1[[#This Row],[Revenue]],"")</f>
        <v>0.69101012105576498</v>
      </c>
      <c r="M47" s="23">
        <v>7254</v>
      </c>
      <c r="N47" s="23">
        <v>3191</v>
      </c>
      <c r="O47" s="23">
        <v>2187</v>
      </c>
      <c r="P47" s="22"/>
      <c r="Q47" s="6">
        <f t="shared" si="1"/>
        <v>0.14467156181782101</v>
      </c>
      <c r="R47" s="24"/>
      <c r="S47" s="3" t="str">
        <v>I-Center</v>
      </c>
      <c r="T47" s="3"/>
    </row>
    <row r="48" spans="1:20" x14ac:dyDescent="0.35">
      <c r="A48" s="9"/>
      <c r="B48" s="22">
        <v>2017</v>
      </c>
      <c r="C48" s="22" t="s">
        <v>16</v>
      </c>
      <c r="D48" s="22" t="s">
        <v>21</v>
      </c>
      <c r="E48" s="22" t="s">
        <v>109</v>
      </c>
      <c r="F48" s="22" t="s">
        <v>27</v>
      </c>
      <c r="G48" s="22"/>
      <c r="H48" s="22" t="s">
        <v>110</v>
      </c>
      <c r="I48" s="23">
        <v>9534</v>
      </c>
      <c r="J48" s="23">
        <v>4687</v>
      </c>
      <c r="K48" s="23">
        <v>4847</v>
      </c>
      <c r="L48" s="206">
        <f>IF(Table1[[#This Row],[Gross Profit]]&lt;&gt;0,Table1[[#This Row],[Gross Profit]]/Table1[[#This Row],[Revenue]],"")</f>
        <v>0.50839102160688066</v>
      </c>
      <c r="M48" s="23">
        <v>3873</v>
      </c>
      <c r="N48" s="23">
        <v>974</v>
      </c>
      <c r="O48" s="23">
        <v>632</v>
      </c>
      <c r="P48" s="22"/>
      <c r="Q48" s="6">
        <f t="shared" si="1"/>
        <v>6.6289070694357036E-2</v>
      </c>
      <c r="R48" s="24"/>
      <c r="S48" s="3" t="str">
        <v>Hart</v>
      </c>
      <c r="T48" s="3"/>
    </row>
    <row r="49" spans="1:20" x14ac:dyDescent="0.35">
      <c r="A49" s="3"/>
      <c r="B49" s="22">
        <v>2017</v>
      </c>
      <c r="C49" s="22" t="s">
        <v>16</v>
      </c>
      <c r="D49" s="22" t="s">
        <v>25</v>
      </c>
      <c r="E49" s="22" t="s">
        <v>111</v>
      </c>
      <c r="F49" s="22" t="s">
        <v>27</v>
      </c>
      <c r="G49" s="22"/>
      <c r="H49" s="22" t="s">
        <v>112</v>
      </c>
      <c r="I49" s="23">
        <v>7404</v>
      </c>
      <c r="J49" s="23">
        <v>3622</v>
      </c>
      <c r="K49" s="23">
        <v>3783</v>
      </c>
      <c r="L49" s="206">
        <f>IF(Table1[[#This Row],[Gross Profit]]&lt;&gt;0,Table1[[#This Row],[Gross Profit]]/Table1[[#This Row],[Revenue]],"")</f>
        <v>0.51094003241491082</v>
      </c>
      <c r="M49" s="23">
        <v>3283</v>
      </c>
      <c r="N49" s="23">
        <v>500</v>
      </c>
      <c r="O49" s="23">
        <v>511</v>
      </c>
      <c r="P49" s="22"/>
      <c r="Q49" s="6">
        <f t="shared" si="1"/>
        <v>6.9016747703943809E-2</v>
      </c>
      <c r="R49" s="24"/>
      <c r="S49" s="3" t="str">
        <v>Snow</v>
      </c>
      <c r="T49" s="3"/>
    </row>
    <row r="50" spans="1:20" x14ac:dyDescent="0.35">
      <c r="A50" s="9"/>
      <c r="B50" s="22">
        <v>2017</v>
      </c>
      <c r="C50" s="22" t="s">
        <v>16</v>
      </c>
      <c r="D50" s="22" t="s">
        <v>29</v>
      </c>
      <c r="E50" s="22" t="s">
        <v>113</v>
      </c>
      <c r="F50" s="25" t="s">
        <v>114</v>
      </c>
      <c r="G50" s="22"/>
      <c r="H50" s="22" t="s">
        <v>115</v>
      </c>
      <c r="I50" s="23">
        <v>38186</v>
      </c>
      <c r="J50" s="23">
        <v>15711</v>
      </c>
      <c r="K50" s="23">
        <v>22474</v>
      </c>
      <c r="L50" s="206">
        <f>IF(Table1[[#This Row],[Gross Profit]]&lt;&gt;0,Table1[[#This Row],[Gross Profit]]/Table1[[#This Row],[Revenue]],"")</f>
        <v>0.5885403027287488</v>
      </c>
      <c r="M50" s="23">
        <v>9288</v>
      </c>
      <c r="N50" s="23">
        <v>13186</v>
      </c>
      <c r="O50" s="23">
        <v>9213</v>
      </c>
      <c r="P50" s="22"/>
      <c r="Q50" s="6">
        <f t="shared" si="1"/>
        <v>0.24126643272403497</v>
      </c>
      <c r="R50" s="24"/>
      <c r="S50" s="3"/>
      <c r="T50" s="3"/>
    </row>
    <row r="51" spans="1:20" x14ac:dyDescent="0.35">
      <c r="A51" s="9"/>
      <c r="B51" s="22">
        <v>2017</v>
      </c>
      <c r="C51" s="22" t="s">
        <v>16</v>
      </c>
      <c r="D51" s="22" t="s">
        <v>31</v>
      </c>
      <c r="E51" s="22" t="s">
        <v>116</v>
      </c>
      <c r="F51" s="22" t="s">
        <v>117</v>
      </c>
      <c r="G51" s="22"/>
      <c r="H51" s="22" t="s">
        <v>118</v>
      </c>
      <c r="I51" s="23">
        <v>11753</v>
      </c>
      <c r="J51" s="23">
        <v>2956</v>
      </c>
      <c r="K51" s="23">
        <v>8797</v>
      </c>
      <c r="L51" s="206">
        <f>IF(Table1[[#This Row],[Gross Profit]]&lt;&gt;0,Table1[[#This Row],[Gross Profit]]/Table1[[#This Row],[Revenue]],"")</f>
        <v>0.7484897472985621</v>
      </c>
      <c r="M51" s="23">
        <v>5468</v>
      </c>
      <c r="N51" s="23">
        <v>3328</v>
      </c>
      <c r="O51" s="23">
        <v>2301</v>
      </c>
      <c r="P51" s="22"/>
      <c r="Q51" s="6">
        <f t="shared" si="1"/>
        <v>0.19577980090189739</v>
      </c>
      <c r="R51" s="24"/>
      <c r="S51" s="3"/>
      <c r="T51" s="3"/>
    </row>
    <row r="52" spans="1:20" x14ac:dyDescent="0.35">
      <c r="A52" s="3"/>
      <c r="B52" s="22">
        <v>2017</v>
      </c>
      <c r="C52" s="22" t="s">
        <v>16</v>
      </c>
      <c r="D52" s="22" t="s">
        <v>32</v>
      </c>
      <c r="E52" s="22" t="s">
        <v>119</v>
      </c>
      <c r="F52" s="22" t="s">
        <v>97</v>
      </c>
      <c r="G52" s="22"/>
      <c r="H52" s="22" t="s">
        <v>120</v>
      </c>
      <c r="I52" s="23">
        <v>15613</v>
      </c>
      <c r="J52" s="23">
        <v>5088</v>
      </c>
      <c r="K52" s="23">
        <v>10526</v>
      </c>
      <c r="L52" s="206">
        <f>IF(Table1[[#This Row],[Gross Profit]]&lt;&gt;0,Table1[[#This Row],[Gross Profit]]/Table1[[#This Row],[Revenue]],"")</f>
        <v>0.67418177160058923</v>
      </c>
      <c r="M52" s="23">
        <v>6784</v>
      </c>
      <c r="N52" s="23">
        <v>3742</v>
      </c>
      <c r="O52" s="23">
        <v>2531</v>
      </c>
      <c r="P52" s="22"/>
      <c r="Q52" s="6">
        <f t="shared" si="1"/>
        <v>0.1621084993274835</v>
      </c>
      <c r="R52" s="24"/>
      <c r="S52" s="3"/>
      <c r="T52" s="3"/>
    </row>
    <row r="53" spans="1:20" x14ac:dyDescent="0.35">
      <c r="A53" s="9"/>
      <c r="B53" s="22">
        <v>2017</v>
      </c>
      <c r="C53" s="22" t="s">
        <v>16</v>
      </c>
      <c r="D53" s="22" t="s">
        <v>46</v>
      </c>
      <c r="E53" s="22" t="s">
        <v>121</v>
      </c>
      <c r="F53" s="22" t="s">
        <v>27</v>
      </c>
      <c r="G53" s="22"/>
      <c r="H53" s="22" t="s">
        <v>112</v>
      </c>
      <c r="I53" s="23">
        <v>4762</v>
      </c>
      <c r="J53" s="23">
        <v>2334</v>
      </c>
      <c r="K53" s="23">
        <v>2428</v>
      </c>
      <c r="L53" s="206">
        <f>IF(Table1[[#This Row],[Gross Profit]]&lt;&gt;0,Table1[[#This Row],[Gross Profit]]/Table1[[#This Row],[Revenue]],"")</f>
        <v>0.50986980260394787</v>
      </c>
      <c r="M53" s="23">
        <v>3559</v>
      </c>
      <c r="N53" s="23">
        <v>-1131</v>
      </c>
      <c r="O53" s="23">
        <v>-875</v>
      </c>
      <c r="P53" s="22"/>
      <c r="Q53" s="6">
        <f t="shared" si="1"/>
        <v>-0.18374632507349853</v>
      </c>
      <c r="R53" s="24"/>
      <c r="S53" s="3"/>
      <c r="T53" s="3"/>
    </row>
    <row r="54" spans="1:20" x14ac:dyDescent="0.35">
      <c r="A54" s="9"/>
      <c r="B54" s="22">
        <v>2017</v>
      </c>
      <c r="C54" s="22" t="s">
        <v>16</v>
      </c>
      <c r="D54" s="22" t="s">
        <v>65</v>
      </c>
      <c r="E54" s="22" t="s">
        <v>122</v>
      </c>
      <c r="F54" s="22" t="s">
        <v>27</v>
      </c>
      <c r="G54" s="22"/>
      <c r="H54" s="22" t="s">
        <v>123</v>
      </c>
      <c r="I54" s="23">
        <v>5786</v>
      </c>
      <c r="J54" s="23">
        <v>2930</v>
      </c>
      <c r="K54" s="23">
        <v>2930</v>
      </c>
      <c r="L54" s="206">
        <f>IF(Table1[[#This Row],[Gross Profit]]&lt;&gt;0,Table1[[#This Row],[Gross Profit]]/Table1[[#This Row],[Revenue]],"")</f>
        <v>0.50639474593847222</v>
      </c>
      <c r="M54" s="23">
        <v>4413</v>
      </c>
      <c r="N54" s="23">
        <v>-1483</v>
      </c>
      <c r="O54" s="23">
        <v>-1069</v>
      </c>
      <c r="P54" s="22"/>
      <c r="Q54" s="6">
        <f t="shared" si="1"/>
        <v>-0.18475630833045281</v>
      </c>
      <c r="R54" s="24"/>
      <c r="S54" s="3"/>
      <c r="T54" s="3"/>
    </row>
    <row r="55" spans="1:20" x14ac:dyDescent="0.35">
      <c r="A55" s="3"/>
      <c r="B55" s="26">
        <v>2017</v>
      </c>
      <c r="C55" s="26" t="s">
        <v>36</v>
      </c>
      <c r="D55" s="26" t="s">
        <v>17</v>
      </c>
      <c r="E55" s="26" t="s">
        <v>124</v>
      </c>
      <c r="F55" s="26" t="s">
        <v>27</v>
      </c>
      <c r="G55" s="26"/>
      <c r="H55" s="26" t="s">
        <v>125</v>
      </c>
      <c r="I55" s="27">
        <v>20078</v>
      </c>
      <c r="J55" s="27">
        <v>11478</v>
      </c>
      <c r="K55" s="27">
        <v>8600</v>
      </c>
      <c r="L55" s="207">
        <f>IF(Table1[[#This Row],[Gross Profit]]&lt;&gt;0,Table1[[#This Row],[Gross Profit]]/Table1[[#This Row],[Revenue]],"")</f>
        <v>0.4283295148919215</v>
      </c>
      <c r="M55" s="27">
        <v>4076</v>
      </c>
      <c r="N55" s="27">
        <v>4524</v>
      </c>
      <c r="O55" s="27">
        <v>3091</v>
      </c>
      <c r="P55" s="26"/>
      <c r="Q55" s="6">
        <f t="shared" si="1"/>
        <v>0.15394959657336388</v>
      </c>
      <c r="R55" s="24"/>
      <c r="S55" s="3"/>
      <c r="T55" s="3"/>
    </row>
    <row r="56" spans="1:20" x14ac:dyDescent="0.35">
      <c r="A56" s="9"/>
      <c r="B56" s="26">
        <v>2017</v>
      </c>
      <c r="C56" s="26" t="s">
        <v>36</v>
      </c>
      <c r="D56" s="26" t="s">
        <v>21</v>
      </c>
      <c r="E56" s="26" t="s">
        <v>126</v>
      </c>
      <c r="F56" s="26" t="s">
        <v>97</v>
      </c>
      <c r="G56" s="26"/>
      <c r="H56" s="26" t="s">
        <v>127</v>
      </c>
      <c r="I56" s="27">
        <v>11432</v>
      </c>
      <c r="J56" s="27">
        <v>5567</v>
      </c>
      <c r="K56" s="27">
        <v>5866</v>
      </c>
      <c r="L56" s="207">
        <f>IF(Table1[[#This Row],[Gross Profit]]&lt;&gt;0,Table1[[#This Row],[Gross Profit]]/Table1[[#This Row],[Revenue]],"")</f>
        <v>0.51312106368089572</v>
      </c>
      <c r="M56" s="27">
        <v>7016</v>
      </c>
      <c r="N56" s="27">
        <v>-1150</v>
      </c>
      <c r="O56" s="27">
        <v>-875</v>
      </c>
      <c r="P56" s="26"/>
      <c r="Q56" s="6">
        <f t="shared" si="1"/>
        <v>-7.6539538138558433E-2</v>
      </c>
      <c r="R56" s="24"/>
      <c r="S56" s="3"/>
      <c r="T56" s="3"/>
    </row>
    <row r="57" spans="1:20" x14ac:dyDescent="0.35">
      <c r="A57" s="9"/>
      <c r="B57" s="26">
        <v>2017</v>
      </c>
      <c r="C57" s="26" t="s">
        <v>36</v>
      </c>
      <c r="D57" s="26" t="s">
        <v>25</v>
      </c>
      <c r="E57" s="26" t="s">
        <v>128</v>
      </c>
      <c r="F57" s="26" t="s">
        <v>23</v>
      </c>
      <c r="G57" s="26"/>
      <c r="H57" s="26" t="s">
        <v>129</v>
      </c>
      <c r="I57" s="27">
        <v>8539</v>
      </c>
      <c r="J57" s="27">
        <v>2314</v>
      </c>
      <c r="K57" s="27">
        <v>6225</v>
      </c>
      <c r="L57" s="207">
        <f>IF(Table1[[#This Row],[Gross Profit]]&lt;&gt;0,Table1[[#This Row],[Gross Profit]]/Table1[[#This Row],[Revenue]],"")</f>
        <v>0.72900808057149546</v>
      </c>
      <c r="M57" s="27">
        <v>7310</v>
      </c>
      <c r="N57" s="27">
        <v>-1085</v>
      </c>
      <c r="O57" s="27">
        <v>-811</v>
      </c>
      <c r="P57" s="26"/>
      <c r="Q57" s="6">
        <f t="shared" si="1"/>
        <v>-9.4975992504977166E-2</v>
      </c>
      <c r="R57" s="24"/>
      <c r="S57" s="3"/>
      <c r="T57" s="3"/>
    </row>
    <row r="58" spans="1:20" x14ac:dyDescent="0.35">
      <c r="A58" s="3"/>
      <c r="B58" s="26">
        <v>2017</v>
      </c>
      <c r="C58" s="26" t="s">
        <v>36</v>
      </c>
      <c r="D58" s="26" t="s">
        <v>29</v>
      </c>
      <c r="E58" s="26" t="s">
        <v>130</v>
      </c>
      <c r="F58" s="26" t="s">
        <v>114</v>
      </c>
      <c r="G58" s="26"/>
      <c r="H58" s="26" t="s">
        <v>20</v>
      </c>
      <c r="I58" s="27">
        <v>15592</v>
      </c>
      <c r="J58" s="27">
        <v>4456</v>
      </c>
      <c r="K58" s="27">
        <v>11137</v>
      </c>
      <c r="L58" s="207">
        <f>IF(Table1[[#This Row],[Gross Profit]]&lt;&gt;0,Table1[[#This Row],[Gross Profit]]/Table1[[#This Row],[Revenue]],"")</f>
        <v>0.71427655207798868</v>
      </c>
      <c r="M58" s="27">
        <v>8743</v>
      </c>
      <c r="N58" s="27">
        <v>2394</v>
      </c>
      <c r="O58" s="27">
        <v>1531</v>
      </c>
      <c r="P58" s="26"/>
      <c r="Q58" s="6">
        <f t="shared" si="1"/>
        <v>9.8191380194971783E-2</v>
      </c>
      <c r="R58" s="24"/>
      <c r="S58" s="3"/>
      <c r="T58" s="3"/>
    </row>
    <row r="59" spans="1:20" x14ac:dyDescent="0.35">
      <c r="A59" s="9"/>
      <c r="B59" s="26">
        <v>2017</v>
      </c>
      <c r="C59" s="26" t="s">
        <v>36</v>
      </c>
      <c r="D59" s="26" t="s">
        <v>31</v>
      </c>
      <c r="E59" s="26" t="s">
        <v>131</v>
      </c>
      <c r="F59" s="26" t="s">
        <v>23</v>
      </c>
      <c r="G59" s="26"/>
      <c r="H59" s="26" t="s">
        <v>132</v>
      </c>
      <c r="I59" s="27">
        <v>4507</v>
      </c>
      <c r="J59" s="27">
        <v>1036</v>
      </c>
      <c r="K59" s="27">
        <v>3471</v>
      </c>
      <c r="L59" s="207">
        <f>IF(Table1[[#This Row],[Gross Profit]]&lt;&gt;0,Table1[[#This Row],[Gross Profit]]/Table1[[#This Row],[Revenue]],"")</f>
        <v>0.77013534501885961</v>
      </c>
      <c r="M59" s="27">
        <v>4595</v>
      </c>
      <c r="N59" s="27">
        <v>-1124</v>
      </c>
      <c r="O59" s="27">
        <v>-846</v>
      </c>
      <c r="P59" s="26"/>
      <c r="Q59" s="6">
        <f t="shared" si="1"/>
        <v>-0.18770800976259153</v>
      </c>
      <c r="R59" s="24"/>
      <c r="S59" s="3"/>
      <c r="T59" s="3"/>
    </row>
    <row r="60" spans="1:20" x14ac:dyDescent="0.35">
      <c r="A60" s="9"/>
      <c r="B60" s="26">
        <v>2017</v>
      </c>
      <c r="C60" s="26" t="s">
        <v>36</v>
      </c>
      <c r="D60" s="26" t="s">
        <v>32</v>
      </c>
      <c r="E60" s="26" t="s">
        <v>133</v>
      </c>
      <c r="F60" s="26" t="s">
        <v>27</v>
      </c>
      <c r="G60" s="26"/>
      <c r="H60" s="26" t="s">
        <v>134</v>
      </c>
      <c r="I60" s="27">
        <v>5092</v>
      </c>
      <c r="J60" s="27">
        <v>788</v>
      </c>
      <c r="K60" s="27">
        <v>4305</v>
      </c>
      <c r="L60" s="207">
        <f>IF(Table1[[#This Row],[Gross Profit]]&lt;&gt;0,Table1[[#This Row],[Gross Profit]]/Table1[[#This Row],[Revenue]],"")</f>
        <v>0.84544383346425767</v>
      </c>
      <c r="M60" s="27">
        <v>4304</v>
      </c>
      <c r="N60" s="27">
        <v>1</v>
      </c>
      <c r="O60" s="27">
        <v>-62</v>
      </c>
      <c r="P60" s="26"/>
      <c r="Q60" s="6">
        <f t="shared" si="1"/>
        <v>-1.2175962293794187E-2</v>
      </c>
      <c r="R60" s="24"/>
      <c r="S60" s="3"/>
      <c r="T60" s="3"/>
    </row>
    <row r="61" spans="1:20" x14ac:dyDescent="0.35">
      <c r="A61" s="3"/>
      <c r="B61" s="28">
        <v>2017</v>
      </c>
      <c r="C61" s="29" t="s">
        <v>43</v>
      </c>
      <c r="D61" s="30" t="s">
        <v>17</v>
      </c>
      <c r="E61" s="29" t="s">
        <v>135</v>
      </c>
      <c r="F61" s="29" t="s">
        <v>27</v>
      </c>
      <c r="G61" s="31">
        <v>35</v>
      </c>
      <c r="H61" s="29" t="s">
        <v>136</v>
      </c>
      <c r="I61" s="31">
        <v>20321</v>
      </c>
      <c r="J61" s="31">
        <v>8544</v>
      </c>
      <c r="K61" s="31">
        <v>11777</v>
      </c>
      <c r="L61" s="208">
        <f>IF(Table1[[#This Row],[Gross Profit]]&lt;&gt;0,Table1[[#This Row],[Gross Profit]]/Table1[[#This Row],[Revenue]],"")</f>
        <v>0.57954825057821957</v>
      </c>
      <c r="M61" s="31">
        <v>3993</v>
      </c>
      <c r="N61" s="31">
        <v>7784</v>
      </c>
      <c r="O61" s="31">
        <v>5446</v>
      </c>
      <c r="P61" s="29"/>
      <c r="Q61" s="6">
        <f t="shared" si="1"/>
        <v>0.26799862211505338</v>
      </c>
      <c r="R61" s="24"/>
      <c r="S61" s="3"/>
      <c r="T61" s="3"/>
    </row>
    <row r="62" spans="1:20" x14ac:dyDescent="0.35">
      <c r="A62" s="9"/>
      <c r="B62" s="28">
        <v>2017</v>
      </c>
      <c r="C62" s="29" t="s">
        <v>43</v>
      </c>
      <c r="D62" s="30" t="s">
        <v>21</v>
      </c>
      <c r="E62" s="29" t="s">
        <v>137</v>
      </c>
      <c r="F62" s="29" t="s">
        <v>27</v>
      </c>
      <c r="G62" s="31">
        <v>35</v>
      </c>
      <c r="H62" s="29" t="s">
        <v>138</v>
      </c>
      <c r="I62" s="31">
        <v>10660</v>
      </c>
      <c r="J62" s="31">
        <v>5884</v>
      </c>
      <c r="K62" s="31">
        <v>4776</v>
      </c>
      <c r="L62" s="208">
        <f>IF(Table1[[#This Row],[Gross Profit]]&lt;&gt;0,Table1[[#This Row],[Gross Profit]]/Table1[[#This Row],[Revenue]],"")</f>
        <v>0.4480300187617261</v>
      </c>
      <c r="M62" s="31">
        <v>3648</v>
      </c>
      <c r="N62" s="31">
        <v>1128</v>
      </c>
      <c r="O62" s="31">
        <v>670</v>
      </c>
      <c r="P62" s="29"/>
      <c r="Q62" s="6">
        <f t="shared" si="1"/>
        <v>6.2851782363977482E-2</v>
      </c>
      <c r="R62" s="24"/>
      <c r="S62" s="3"/>
      <c r="T62" s="3"/>
    </row>
    <row r="63" spans="1:20" x14ac:dyDescent="0.35">
      <c r="A63" s="9"/>
      <c r="B63" s="28">
        <v>2017</v>
      </c>
      <c r="C63" s="29" t="s">
        <v>43</v>
      </c>
      <c r="D63" s="30" t="s">
        <v>25</v>
      </c>
      <c r="E63" s="29" t="s">
        <v>139</v>
      </c>
      <c r="F63" s="29" t="s">
        <v>27</v>
      </c>
      <c r="G63" s="31">
        <v>35</v>
      </c>
      <c r="H63" s="29" t="s">
        <v>140</v>
      </c>
      <c r="I63" s="31">
        <v>7421</v>
      </c>
      <c r="J63" s="31">
        <v>3322</v>
      </c>
      <c r="K63" s="31">
        <v>4099</v>
      </c>
      <c r="L63" s="208">
        <f>IF(Table1[[#This Row],[Gross Profit]]&lt;&gt;0,Table1[[#This Row],[Gross Profit]]/Table1[[#This Row],[Revenue]],"")</f>
        <v>0.55235143511656115</v>
      </c>
      <c r="M63" s="31">
        <v>3686</v>
      </c>
      <c r="N63" s="31">
        <v>413</v>
      </c>
      <c r="O63" s="31">
        <v>241</v>
      </c>
      <c r="P63" s="29"/>
      <c r="Q63" s="6">
        <f t="shared" si="1"/>
        <v>3.2475407627004446E-2</v>
      </c>
      <c r="R63" s="24"/>
      <c r="S63" s="3"/>
      <c r="T63" s="3"/>
    </row>
    <row r="64" spans="1:20" x14ac:dyDescent="0.35">
      <c r="A64" s="3"/>
      <c r="B64" s="28">
        <v>2017</v>
      </c>
      <c r="C64" s="29" t="s">
        <v>43</v>
      </c>
      <c r="D64" s="30" t="s">
        <v>29</v>
      </c>
      <c r="E64" s="29" t="s">
        <v>141</v>
      </c>
      <c r="F64" s="29" t="s">
        <v>19</v>
      </c>
      <c r="G64" s="31">
        <v>150</v>
      </c>
      <c r="H64" s="29" t="s">
        <v>142</v>
      </c>
      <c r="I64" s="31">
        <v>7680</v>
      </c>
      <c r="J64" s="31">
        <v>3705</v>
      </c>
      <c r="K64" s="31">
        <v>3975</v>
      </c>
      <c r="L64" s="208">
        <f>IF(Table1[[#This Row],[Gross Profit]]&lt;&gt;0,Table1[[#This Row],[Gross Profit]]/Table1[[#This Row],[Revenue]],"")</f>
        <v>0.517578125</v>
      </c>
      <c r="M64" s="31">
        <v>5746</v>
      </c>
      <c r="N64" s="31">
        <v>-1771</v>
      </c>
      <c r="O64" s="31">
        <v>-1323</v>
      </c>
      <c r="P64" s="29"/>
      <c r="Q64" s="6">
        <f t="shared" si="1"/>
        <v>-0.17226562500000001</v>
      </c>
      <c r="R64" s="24"/>
      <c r="S64" s="3"/>
      <c r="T64" s="3"/>
    </row>
    <row r="65" spans="1:20" x14ac:dyDescent="0.35">
      <c r="A65" s="9"/>
      <c r="B65" s="28">
        <v>2017</v>
      </c>
      <c r="C65" s="29" t="s">
        <v>43</v>
      </c>
      <c r="D65" s="30" t="s">
        <v>31</v>
      </c>
      <c r="E65" s="29" t="s">
        <v>143</v>
      </c>
      <c r="F65" s="29" t="s">
        <v>97</v>
      </c>
      <c r="G65" s="31">
        <v>150</v>
      </c>
      <c r="H65" s="29" t="s">
        <v>144</v>
      </c>
      <c r="I65" s="31">
        <v>15648</v>
      </c>
      <c r="J65" s="31">
        <v>6388</v>
      </c>
      <c r="K65" s="31">
        <v>9260</v>
      </c>
      <c r="L65" s="208">
        <f>IF(Table1[[#This Row],[Gross Profit]]&lt;&gt;0,Table1[[#This Row],[Gross Profit]]/Table1[[#This Row],[Revenue]],"")</f>
        <v>0.59176891615541927</v>
      </c>
      <c r="M65" s="31">
        <v>8640</v>
      </c>
      <c r="N65" s="31">
        <v>620</v>
      </c>
      <c r="O65" s="31">
        <v>378</v>
      </c>
      <c r="P65" s="29"/>
      <c r="Q65" s="6">
        <f t="shared" si="1"/>
        <v>2.415644171779141E-2</v>
      </c>
      <c r="R65" s="24"/>
      <c r="S65" s="3"/>
      <c r="T65" s="3"/>
    </row>
    <row r="66" spans="1:20" x14ac:dyDescent="0.35">
      <c r="A66" s="9"/>
      <c r="B66" s="28">
        <v>2017</v>
      </c>
      <c r="C66" s="29" t="s">
        <v>43</v>
      </c>
      <c r="D66" s="30" t="s">
        <v>32</v>
      </c>
      <c r="E66" s="29" t="s">
        <v>145</v>
      </c>
      <c r="F66" s="29" t="s">
        <v>23</v>
      </c>
      <c r="G66" s="31">
        <v>35</v>
      </c>
      <c r="H66" s="29" t="s">
        <v>146</v>
      </c>
      <c r="I66" s="31">
        <v>12637</v>
      </c>
      <c r="J66" s="31">
        <v>5738</v>
      </c>
      <c r="K66" s="31">
        <v>6899</v>
      </c>
      <c r="L66" s="208">
        <f>IF(Table1[[#This Row],[Gross Profit]]&lt;&gt;0,Table1[[#This Row],[Gross Profit]]/Table1[[#This Row],[Revenue]],"")</f>
        <v>0.54593653557015109</v>
      </c>
      <c r="M66" s="31">
        <v>6168</v>
      </c>
      <c r="N66" s="31">
        <v>731</v>
      </c>
      <c r="O66" s="31">
        <v>438</v>
      </c>
      <c r="P66" s="29"/>
      <c r="Q66" s="6">
        <f t="shared" si="1"/>
        <v>3.4660125029674763E-2</v>
      </c>
      <c r="R66" s="24"/>
      <c r="S66" s="3"/>
      <c r="T66" s="3"/>
    </row>
    <row r="67" spans="1:20" x14ac:dyDescent="0.35">
      <c r="A67" s="3"/>
      <c r="B67" s="28">
        <v>2017</v>
      </c>
      <c r="C67" s="29" t="s">
        <v>43</v>
      </c>
      <c r="D67" s="30" t="s">
        <v>46</v>
      </c>
      <c r="E67" s="29" t="s">
        <v>147</v>
      </c>
      <c r="F67" s="29" t="s">
        <v>27</v>
      </c>
      <c r="G67" s="31">
        <v>35</v>
      </c>
      <c r="H67" s="29" t="s">
        <v>148</v>
      </c>
      <c r="I67" s="31">
        <v>3033</v>
      </c>
      <c r="J67" s="31">
        <v>2396</v>
      </c>
      <c r="K67" s="31">
        <v>637</v>
      </c>
      <c r="L67" s="208">
        <f>IF(Table1[[#This Row],[Gross Profit]]&lt;&gt;0,Table1[[#This Row],[Gross Profit]]/Table1[[#This Row],[Revenue]],"")</f>
        <v>0.21002307945928125</v>
      </c>
      <c r="M67" s="31">
        <v>2671</v>
      </c>
      <c r="N67" s="31">
        <v>-2034</v>
      </c>
      <c r="O67" s="31">
        <v>-1543</v>
      </c>
      <c r="P67" s="29"/>
      <c r="Q67" s="6">
        <f t="shared" ref="Q67:Q98" si="2">IFERROR(O67/I67,0)</f>
        <v>-0.50873722387075504</v>
      </c>
      <c r="R67" s="24"/>
      <c r="S67" s="3"/>
      <c r="T67" s="3"/>
    </row>
    <row r="68" spans="1:20" x14ac:dyDescent="0.35">
      <c r="A68" s="9"/>
      <c r="B68" s="32">
        <v>2018</v>
      </c>
      <c r="C68" s="33" t="s">
        <v>16</v>
      </c>
      <c r="D68" s="33" t="s">
        <v>17</v>
      </c>
      <c r="E68" s="34" t="s">
        <v>149</v>
      </c>
      <c r="F68" s="34" t="s">
        <v>19</v>
      </c>
      <c r="G68" s="35">
        <v>150</v>
      </c>
      <c r="H68" s="34" t="s">
        <v>150</v>
      </c>
      <c r="I68" s="36">
        <v>16323</v>
      </c>
      <c r="J68" s="36">
        <v>6720</v>
      </c>
      <c r="K68" s="36">
        <v>9604</v>
      </c>
      <c r="L68" s="209">
        <f>IF(Table1[[#This Row],[Gross Profit]]&lt;&gt;0,Table1[[#This Row],[Gross Profit]]/Table1[[#This Row],[Revenue]],"")</f>
        <v>0.58837223549592599</v>
      </c>
      <c r="M68" s="36">
        <v>7332</v>
      </c>
      <c r="N68" s="36">
        <v>2272</v>
      </c>
      <c r="O68" s="36">
        <v>1783</v>
      </c>
      <c r="P68" s="36">
        <v>7461</v>
      </c>
      <c r="Q68" s="6">
        <f t="shared" si="2"/>
        <v>0.10923237150033695</v>
      </c>
      <c r="R68" s="24"/>
      <c r="S68" s="3"/>
      <c r="T68" s="3"/>
    </row>
    <row r="69" spans="1:20" x14ac:dyDescent="0.35">
      <c r="A69" s="9"/>
      <c r="B69" s="32">
        <v>2018</v>
      </c>
      <c r="C69" s="33" t="s">
        <v>16</v>
      </c>
      <c r="D69" s="33" t="s">
        <v>21</v>
      </c>
      <c r="E69" s="34" t="s">
        <v>151</v>
      </c>
      <c r="F69" s="34" t="s">
        <v>97</v>
      </c>
      <c r="G69" s="35">
        <v>150</v>
      </c>
      <c r="H69" s="34" t="s">
        <v>152</v>
      </c>
      <c r="I69" s="36">
        <v>18262</v>
      </c>
      <c r="J69" s="36">
        <v>9266</v>
      </c>
      <c r="K69" s="36">
        <v>8995</v>
      </c>
      <c r="L69" s="209">
        <f>IF(Table1[[#This Row],[Gross Profit]]&lt;&gt;0,Table1[[#This Row],[Gross Profit]]/Table1[[#This Row],[Revenue]],"")</f>
        <v>0.49255284196692584</v>
      </c>
      <c r="M69" s="36">
        <v>7186</v>
      </c>
      <c r="N69" s="36">
        <v>1809</v>
      </c>
      <c r="O69" s="36">
        <v>1222</v>
      </c>
      <c r="P69" s="36">
        <v>6252</v>
      </c>
      <c r="Q69" s="6">
        <f t="shared" si="2"/>
        <v>6.6914905267769137E-2</v>
      </c>
      <c r="R69" s="24"/>
      <c r="S69" s="3"/>
      <c r="T69" s="3"/>
    </row>
    <row r="70" spans="1:20" x14ac:dyDescent="0.35">
      <c r="A70" s="3"/>
      <c r="B70" s="32">
        <v>2018</v>
      </c>
      <c r="C70" s="33" t="s">
        <v>16</v>
      </c>
      <c r="D70" s="33" t="s">
        <v>25</v>
      </c>
      <c r="E70" s="34" t="s">
        <v>153</v>
      </c>
      <c r="F70" s="34" t="s">
        <v>49</v>
      </c>
      <c r="G70" s="35">
        <v>75</v>
      </c>
      <c r="H70" s="34" t="s">
        <v>154</v>
      </c>
      <c r="I70" s="36">
        <v>11128</v>
      </c>
      <c r="J70" s="36">
        <v>4622</v>
      </c>
      <c r="K70" s="36">
        <v>6506</v>
      </c>
      <c r="L70" s="209">
        <f>IF(Table1[[#This Row],[Gross Profit]]&lt;&gt;0,Table1[[#This Row],[Gross Profit]]/Table1[[#This Row],[Revenue]],"")</f>
        <v>0.58465132997843283</v>
      </c>
      <c r="M70" s="36">
        <v>6493</v>
      </c>
      <c r="N70" s="36">
        <v>13</v>
      </c>
      <c r="O70" s="36">
        <v>-70</v>
      </c>
      <c r="P70" s="36">
        <v>3535</v>
      </c>
      <c r="Q70" s="6">
        <f t="shared" si="2"/>
        <v>-6.2904385334291877E-3</v>
      </c>
      <c r="R70" s="24"/>
      <c r="S70" s="3"/>
      <c r="T70" s="3"/>
    </row>
    <row r="71" spans="1:20" x14ac:dyDescent="0.35">
      <c r="A71" s="9"/>
      <c r="B71" s="32">
        <v>2018</v>
      </c>
      <c r="C71" s="33" t="s">
        <v>16</v>
      </c>
      <c r="D71" s="33" t="s">
        <v>29</v>
      </c>
      <c r="E71" s="34" t="s">
        <v>155</v>
      </c>
      <c r="F71" s="34" t="s">
        <v>27</v>
      </c>
      <c r="G71" s="35">
        <v>35</v>
      </c>
      <c r="H71" s="34" t="s">
        <v>156</v>
      </c>
      <c r="I71" s="36">
        <v>9093</v>
      </c>
      <c r="J71" s="36">
        <v>3902</v>
      </c>
      <c r="K71" s="36">
        <v>5190</v>
      </c>
      <c r="L71" s="209">
        <f>IF(Table1[[#This Row],[Gross Profit]]&lt;&gt;0,Table1[[#This Row],[Gross Profit]]/Table1[[#This Row],[Revenue]],"")</f>
        <v>0.57076872319366545</v>
      </c>
      <c r="M71" s="36">
        <v>3741</v>
      </c>
      <c r="N71" s="36">
        <v>1449</v>
      </c>
      <c r="O71" s="36">
        <v>937</v>
      </c>
      <c r="P71" s="36">
        <v>3574</v>
      </c>
      <c r="Q71" s="6">
        <f t="shared" si="2"/>
        <v>0.10304629935114924</v>
      </c>
      <c r="R71" s="24"/>
      <c r="S71" s="3"/>
      <c r="T71" s="3"/>
    </row>
    <row r="72" spans="1:20" x14ac:dyDescent="0.35">
      <c r="A72" s="9"/>
      <c r="B72" s="32">
        <v>2018</v>
      </c>
      <c r="C72" s="33" t="s">
        <v>16</v>
      </c>
      <c r="D72" s="33" t="s">
        <v>31</v>
      </c>
      <c r="E72" s="34" t="s">
        <v>57</v>
      </c>
      <c r="F72" s="34" t="s">
        <v>27</v>
      </c>
      <c r="G72" s="35">
        <v>35</v>
      </c>
      <c r="H72" s="34" t="s">
        <v>157</v>
      </c>
      <c r="I72" s="36">
        <v>6647</v>
      </c>
      <c r="J72" s="36">
        <v>4147</v>
      </c>
      <c r="K72" s="36">
        <v>2501</v>
      </c>
      <c r="L72" s="209">
        <f>IF(Table1[[#This Row],[Gross Profit]]&lt;&gt;0,Table1[[#This Row],[Gross Profit]]/Table1[[#This Row],[Revenue]],"")</f>
        <v>0.37625996690236196</v>
      </c>
      <c r="M72" s="36">
        <v>4042</v>
      </c>
      <c r="N72" s="36">
        <v>-1541</v>
      </c>
      <c r="O72" s="36">
        <v>-1191</v>
      </c>
      <c r="P72" s="36">
        <v>1766</v>
      </c>
      <c r="Q72" s="6">
        <f t="shared" si="2"/>
        <v>-0.17917857680156463</v>
      </c>
      <c r="R72" s="24"/>
      <c r="S72" s="3"/>
      <c r="T72" s="3"/>
    </row>
    <row r="73" spans="1:20" x14ac:dyDescent="0.35">
      <c r="A73" s="3"/>
      <c r="B73" s="32">
        <v>2018</v>
      </c>
      <c r="C73" s="33" t="s">
        <v>16</v>
      </c>
      <c r="D73" s="33" t="s">
        <v>32</v>
      </c>
      <c r="E73" s="34" t="s">
        <v>158</v>
      </c>
      <c r="F73" s="34" t="s">
        <v>27</v>
      </c>
      <c r="G73" s="35">
        <v>35</v>
      </c>
      <c r="H73" s="34" t="s">
        <v>159</v>
      </c>
      <c r="I73" s="37">
        <v>11023</v>
      </c>
      <c r="J73" s="36">
        <v>3094</v>
      </c>
      <c r="K73" s="36">
        <v>4162</v>
      </c>
      <c r="L73" s="209">
        <f>IF(Table1[[#This Row],[Gross Profit]]&lt;&gt;0,Table1[[#This Row],[Gross Profit]]/Table1[[#This Row],[Revenue]],"")</f>
        <v>0.37757416311348996</v>
      </c>
      <c r="M73" s="36">
        <v>3788</v>
      </c>
      <c r="N73" s="36">
        <v>375</v>
      </c>
      <c r="O73" s="36">
        <v>332</v>
      </c>
      <c r="P73" s="36">
        <v>3678</v>
      </c>
      <c r="Q73" s="6">
        <f t="shared" si="2"/>
        <v>3.0118842420393723E-2</v>
      </c>
      <c r="R73" s="24"/>
      <c r="S73" s="3"/>
      <c r="T73" s="3"/>
    </row>
    <row r="74" spans="1:20" x14ac:dyDescent="0.35">
      <c r="A74" s="9"/>
      <c r="B74" s="32">
        <v>2018</v>
      </c>
      <c r="C74" s="33" t="s">
        <v>16</v>
      </c>
      <c r="D74" s="33" t="s">
        <v>46</v>
      </c>
      <c r="E74" s="34" t="s">
        <v>160</v>
      </c>
      <c r="F74" s="34" t="s">
        <v>27</v>
      </c>
      <c r="G74" s="35">
        <v>35</v>
      </c>
      <c r="H74" s="34" t="s">
        <v>161</v>
      </c>
      <c r="I74" s="36">
        <v>7980</v>
      </c>
      <c r="J74" s="36">
        <v>2616</v>
      </c>
      <c r="K74" s="36">
        <v>5364</v>
      </c>
      <c r="L74" s="209">
        <f>IF(Table1[[#This Row],[Gross Profit]]&lt;&gt;0,Table1[[#This Row],[Gross Profit]]/Table1[[#This Row],[Revenue]],"")</f>
        <v>0.67218045112781954</v>
      </c>
      <c r="M74" s="36">
        <v>4243</v>
      </c>
      <c r="N74" s="36">
        <v>1121</v>
      </c>
      <c r="O74" s="36">
        <v>714</v>
      </c>
      <c r="P74" s="36">
        <v>3990</v>
      </c>
      <c r="Q74" s="6">
        <f t="shared" si="2"/>
        <v>8.9473684210526316E-2</v>
      </c>
      <c r="R74" s="24"/>
      <c r="S74" s="3"/>
      <c r="T74" s="3"/>
    </row>
    <row r="75" spans="1:20" x14ac:dyDescent="0.35">
      <c r="A75" s="9"/>
      <c r="B75" s="38">
        <v>2018</v>
      </c>
      <c r="C75" s="39" t="s">
        <v>36</v>
      </c>
      <c r="D75" s="39" t="s">
        <v>17</v>
      </c>
      <c r="E75" s="39" t="s">
        <v>162</v>
      </c>
      <c r="F75" s="39" t="s">
        <v>27</v>
      </c>
      <c r="G75" s="40">
        <v>35</v>
      </c>
      <c r="H75" s="39" t="s">
        <v>163</v>
      </c>
      <c r="I75" s="41">
        <v>3050</v>
      </c>
      <c r="J75" s="41">
        <v>1103</v>
      </c>
      <c r="K75" s="41">
        <v>1946</v>
      </c>
      <c r="L75" s="210">
        <f>IF(Table1[[#This Row],[Gross Profit]]&lt;&gt;0,Table1[[#This Row],[Gross Profit]]/Table1[[#This Row],[Revenue]],"")</f>
        <v>0.6380327868852459</v>
      </c>
      <c r="M75" s="41">
        <v>2907</v>
      </c>
      <c r="N75" s="41">
        <v>-961</v>
      </c>
      <c r="O75" s="41">
        <v>-704</v>
      </c>
      <c r="P75" s="41">
        <v>796</v>
      </c>
      <c r="Q75" s="6">
        <f t="shared" si="2"/>
        <v>-0.23081967213114754</v>
      </c>
      <c r="R75" s="24"/>
      <c r="S75" s="3"/>
      <c r="T75" s="3"/>
    </row>
    <row r="76" spans="1:20" x14ac:dyDescent="0.35">
      <c r="A76" s="3"/>
      <c r="B76" s="38">
        <v>2018</v>
      </c>
      <c r="C76" s="39" t="s">
        <v>36</v>
      </c>
      <c r="D76" s="39" t="s">
        <v>21</v>
      </c>
      <c r="E76" s="39" t="s">
        <v>164</v>
      </c>
      <c r="F76" s="39" t="s">
        <v>27</v>
      </c>
      <c r="G76" s="40">
        <v>35</v>
      </c>
      <c r="H76" s="39" t="s">
        <v>103</v>
      </c>
      <c r="I76" s="41">
        <v>4486</v>
      </c>
      <c r="J76" s="41">
        <v>932</v>
      </c>
      <c r="K76" s="41">
        <v>3553</v>
      </c>
      <c r="L76" s="210">
        <f>IF(Table1[[#This Row],[Gross Profit]]&lt;&gt;0,Table1[[#This Row],[Gross Profit]]/Table1[[#This Row],[Revenue]],"")</f>
        <v>0.79201961658493092</v>
      </c>
      <c r="M76" s="41">
        <v>2733</v>
      </c>
      <c r="N76" s="41">
        <v>821</v>
      </c>
      <c r="O76" s="41">
        <v>559</v>
      </c>
      <c r="P76" s="41">
        <v>2339</v>
      </c>
      <c r="Q76" s="6">
        <f t="shared" si="2"/>
        <v>0.12460989745876058</v>
      </c>
      <c r="R76" s="24"/>
      <c r="S76" s="3"/>
      <c r="T76" s="3"/>
    </row>
    <row r="77" spans="1:20" x14ac:dyDescent="0.35">
      <c r="A77" s="9"/>
      <c r="B77" s="38">
        <v>2018</v>
      </c>
      <c r="C77" s="39" t="s">
        <v>36</v>
      </c>
      <c r="D77" s="39" t="s">
        <v>25</v>
      </c>
      <c r="E77" s="39" t="s">
        <v>165</v>
      </c>
      <c r="F77" s="39" t="s">
        <v>166</v>
      </c>
      <c r="G77" s="40">
        <v>35</v>
      </c>
      <c r="H77" s="39" t="s">
        <v>167</v>
      </c>
      <c r="I77" s="41">
        <v>4910</v>
      </c>
      <c r="J77" s="41">
        <v>2858</v>
      </c>
      <c r="K77" s="41">
        <v>2052</v>
      </c>
      <c r="L77" s="210">
        <f>IF(Table1[[#This Row],[Gross Profit]]&lt;&gt;0,Table1[[#This Row],[Gross Profit]]/Table1[[#This Row],[Revenue]],"")</f>
        <v>0.41792260692464356</v>
      </c>
      <c r="M77" s="41">
        <v>3008</v>
      </c>
      <c r="N77" s="41">
        <v>956</v>
      </c>
      <c r="O77" s="41">
        <v>-753</v>
      </c>
      <c r="P77" s="41">
        <v>1229</v>
      </c>
      <c r="Q77" s="6">
        <f t="shared" si="2"/>
        <v>-0.15336048879837066</v>
      </c>
      <c r="R77" s="24"/>
      <c r="S77" s="3"/>
      <c r="T77" s="3"/>
    </row>
    <row r="78" spans="1:20" x14ac:dyDescent="0.35">
      <c r="A78" s="9"/>
      <c r="B78" s="38">
        <v>2018</v>
      </c>
      <c r="C78" s="39" t="s">
        <v>36</v>
      </c>
      <c r="D78" s="39" t="s">
        <v>29</v>
      </c>
      <c r="E78" s="39" t="s">
        <v>168</v>
      </c>
      <c r="F78" s="39" t="s">
        <v>19</v>
      </c>
      <c r="G78" s="40">
        <v>150</v>
      </c>
      <c r="H78" s="39" t="s">
        <v>169</v>
      </c>
      <c r="I78" s="41">
        <v>3052</v>
      </c>
      <c r="J78" s="41">
        <v>682</v>
      </c>
      <c r="K78" s="41">
        <v>2370</v>
      </c>
      <c r="L78" s="210">
        <f>IF(Table1[[#This Row],[Gross Profit]]&lt;&gt;0,Table1[[#This Row],[Gross Profit]]/Table1[[#This Row],[Revenue]],"")</f>
        <v>0.77653997378768025</v>
      </c>
      <c r="M78" s="41">
        <v>5612</v>
      </c>
      <c r="N78" s="41">
        <v>-3242</v>
      </c>
      <c r="O78" s="41">
        <v>-2340</v>
      </c>
      <c r="P78" s="41">
        <v>-691</v>
      </c>
      <c r="Q78" s="6">
        <f t="shared" si="2"/>
        <v>-0.76671035386631714</v>
      </c>
      <c r="R78" s="24"/>
      <c r="S78" s="3"/>
      <c r="T78" s="3"/>
    </row>
    <row r="79" spans="1:20" x14ac:dyDescent="0.35">
      <c r="A79" s="3"/>
      <c r="B79" s="38">
        <v>2018</v>
      </c>
      <c r="C79" s="39" t="s">
        <v>36</v>
      </c>
      <c r="D79" s="39" t="s">
        <v>31</v>
      </c>
      <c r="E79" s="39" t="s">
        <v>170</v>
      </c>
      <c r="F79" s="39" t="s">
        <v>27</v>
      </c>
      <c r="G79" s="40">
        <v>35</v>
      </c>
      <c r="H79" s="39" t="s">
        <v>28</v>
      </c>
      <c r="I79" s="41">
        <v>3802</v>
      </c>
      <c r="J79" s="41">
        <v>2219</v>
      </c>
      <c r="K79" s="41">
        <v>1583</v>
      </c>
      <c r="L79" s="210">
        <f>IF(Table1[[#This Row],[Gross Profit]]&lt;&gt;0,Table1[[#This Row],[Gross Profit]]/Table1[[#This Row],[Revenue]],"")</f>
        <v>0.41635981062598632</v>
      </c>
      <c r="M79" s="41">
        <v>2905</v>
      </c>
      <c r="N79" s="41">
        <v>-1322</v>
      </c>
      <c r="O79" s="41">
        <v>-978</v>
      </c>
      <c r="P79" s="41">
        <v>567</v>
      </c>
      <c r="Q79" s="6">
        <f t="shared" si="2"/>
        <v>-0.25723303524460811</v>
      </c>
      <c r="R79" s="24"/>
      <c r="S79" s="3"/>
      <c r="T79" s="3"/>
    </row>
    <row r="80" spans="1:20" x14ac:dyDescent="0.35">
      <c r="A80" s="9"/>
      <c r="B80" s="38">
        <v>2018</v>
      </c>
      <c r="C80" s="39" t="s">
        <v>36</v>
      </c>
      <c r="D80" s="39" t="s">
        <v>32</v>
      </c>
      <c r="E80" s="39" t="s">
        <v>171</v>
      </c>
      <c r="F80" s="39" t="s">
        <v>49</v>
      </c>
      <c r="G80" s="40">
        <v>75</v>
      </c>
      <c r="H80" s="39" t="s">
        <v>172</v>
      </c>
      <c r="I80" s="41">
        <v>7481</v>
      </c>
      <c r="J80" s="41">
        <v>3653</v>
      </c>
      <c r="K80" s="41">
        <v>3828</v>
      </c>
      <c r="L80" s="210">
        <f>IF(Table1[[#This Row],[Gross Profit]]&lt;&gt;0,Table1[[#This Row],[Gross Profit]]/Table1[[#This Row],[Revenue]],"")</f>
        <v>0.51169629728645905</v>
      </c>
      <c r="M80" s="41">
        <v>4582</v>
      </c>
      <c r="N80" s="41">
        <v>-753</v>
      </c>
      <c r="O80" s="41">
        <v>-566</v>
      </c>
      <c r="P80" s="41">
        <v>2160</v>
      </c>
      <c r="Q80" s="6">
        <f t="shared" si="2"/>
        <v>-7.5658334447266412E-2</v>
      </c>
      <c r="R80" s="24"/>
      <c r="S80" s="3"/>
      <c r="T80" s="3"/>
    </row>
    <row r="81" spans="1:20" x14ac:dyDescent="0.35">
      <c r="A81" s="9"/>
      <c r="B81" s="38">
        <v>2018</v>
      </c>
      <c r="C81" s="39" t="s">
        <v>36</v>
      </c>
      <c r="D81" s="39" t="s">
        <v>46</v>
      </c>
      <c r="E81" s="39" t="s">
        <v>173</v>
      </c>
      <c r="F81" s="39" t="s">
        <v>97</v>
      </c>
      <c r="G81" s="40">
        <v>150</v>
      </c>
      <c r="H81" s="39" t="s">
        <v>174</v>
      </c>
      <c r="I81" s="41">
        <v>9102</v>
      </c>
      <c r="J81" s="41">
        <v>5264</v>
      </c>
      <c r="K81" s="41">
        <v>3838</v>
      </c>
      <c r="L81" s="210">
        <f>IF(Table1[[#This Row],[Gross Profit]]&lt;&gt;0,Table1[[#This Row],[Gross Profit]]/Table1[[#This Row],[Revenue]],"")</f>
        <v>0.42166556800703142</v>
      </c>
      <c r="M81" s="41">
        <v>5423</v>
      </c>
      <c r="N81" s="41">
        <v>-1585</v>
      </c>
      <c r="O81" s="41">
        <v>-1169</v>
      </c>
      <c r="P81" s="41">
        <v>3738</v>
      </c>
      <c r="Q81" s="6">
        <f t="shared" si="2"/>
        <v>-0.12843331136014063</v>
      </c>
      <c r="R81" s="24"/>
      <c r="S81" s="3"/>
      <c r="T81" s="3"/>
    </row>
    <row r="82" spans="1:20" x14ac:dyDescent="0.35">
      <c r="A82" s="3"/>
      <c r="B82" s="38">
        <v>2018</v>
      </c>
      <c r="C82" s="39" t="s">
        <v>36</v>
      </c>
      <c r="D82" s="39" t="s">
        <v>65</v>
      </c>
      <c r="E82" s="39" t="s">
        <v>175</v>
      </c>
      <c r="F82" s="39" t="s">
        <v>27</v>
      </c>
      <c r="G82" s="40">
        <v>35</v>
      </c>
      <c r="H82" s="39" t="s">
        <v>176</v>
      </c>
      <c r="I82" s="41">
        <v>3354</v>
      </c>
      <c r="J82" s="41">
        <v>3244</v>
      </c>
      <c r="K82" s="41">
        <v>110</v>
      </c>
      <c r="L82" s="210">
        <f>IF(Table1[[#This Row],[Gross Profit]]&lt;&gt;0,Table1[[#This Row],[Gross Profit]]/Table1[[#This Row],[Revenue]],"")</f>
        <v>3.2796660703637445E-2</v>
      </c>
      <c r="M82" s="41">
        <v>3424</v>
      </c>
      <c r="N82" s="41">
        <v>-3313</v>
      </c>
      <c r="O82" s="41">
        <v>-2402</v>
      </c>
      <c r="P82" s="41">
        <v>-1935</v>
      </c>
      <c r="Q82" s="6">
        <f t="shared" si="2"/>
        <v>-0.71615980918306499</v>
      </c>
      <c r="R82" s="24"/>
      <c r="S82" s="3"/>
      <c r="T82" s="3"/>
    </row>
    <row r="83" spans="1:20" x14ac:dyDescent="0.35">
      <c r="A83" s="9"/>
      <c r="B83" s="42">
        <v>2018</v>
      </c>
      <c r="C83" s="43" t="s">
        <v>43</v>
      </c>
      <c r="D83" s="43" t="s">
        <v>17</v>
      </c>
      <c r="E83" s="43" t="s">
        <v>177</v>
      </c>
      <c r="F83" s="43" t="s">
        <v>27</v>
      </c>
      <c r="G83" s="44">
        <v>35</v>
      </c>
      <c r="H83" s="43" t="s">
        <v>178</v>
      </c>
      <c r="I83" s="45">
        <v>8360</v>
      </c>
      <c r="J83" s="45">
        <v>1756</v>
      </c>
      <c r="K83" s="45">
        <v>6604</v>
      </c>
      <c r="L83" s="211">
        <f>IF(Table1[[#This Row],[Gross Profit]]&lt;&gt;0,Table1[[#This Row],[Gross Profit]]/Table1[[#This Row],[Revenue]],"")</f>
        <v>0.78995215311004785</v>
      </c>
      <c r="M83" s="45">
        <v>4816</v>
      </c>
      <c r="N83" s="45">
        <v>1788</v>
      </c>
      <c r="O83" s="45">
        <v>1280</v>
      </c>
      <c r="P83" s="45">
        <v>6130</v>
      </c>
      <c r="Q83" s="6">
        <f t="shared" si="2"/>
        <v>0.15311004784688995</v>
      </c>
      <c r="R83" s="24"/>
      <c r="S83" s="3"/>
      <c r="T83" s="3"/>
    </row>
    <row r="84" spans="1:20" x14ac:dyDescent="0.35">
      <c r="A84" s="9"/>
      <c r="B84" s="42">
        <v>2018</v>
      </c>
      <c r="C84" s="43" t="s">
        <v>43</v>
      </c>
      <c r="D84" s="43" t="s">
        <v>21</v>
      </c>
      <c r="E84" s="43" t="s">
        <v>179</v>
      </c>
      <c r="F84" s="43" t="s">
        <v>27</v>
      </c>
      <c r="G84" s="44">
        <v>35</v>
      </c>
      <c r="H84" s="43" t="s">
        <v>103</v>
      </c>
      <c r="I84" s="45">
        <v>14475</v>
      </c>
      <c r="J84" s="45">
        <v>2419</v>
      </c>
      <c r="K84" s="45">
        <v>12056</v>
      </c>
      <c r="L84" s="211">
        <f>IF(Table1[[#This Row],[Gross Profit]]&lt;&gt;0,Table1[[#This Row],[Gross Profit]]/Table1[[#This Row],[Revenue]],"")</f>
        <v>0.8328842832469775</v>
      </c>
      <c r="M84" s="45">
        <v>3717</v>
      </c>
      <c r="N84" s="45">
        <v>8339</v>
      </c>
      <c r="O84" s="46">
        <v>5754</v>
      </c>
      <c r="P84" s="45">
        <v>10578</v>
      </c>
      <c r="Q84" s="6">
        <f t="shared" si="2"/>
        <v>0.39751295336787562</v>
      </c>
      <c r="R84" s="24"/>
      <c r="S84" s="3"/>
      <c r="T84" s="3"/>
    </row>
    <row r="85" spans="1:20" x14ac:dyDescent="0.35">
      <c r="A85" s="3"/>
      <c r="B85" s="42">
        <v>2018</v>
      </c>
      <c r="C85" s="43" t="s">
        <v>43</v>
      </c>
      <c r="D85" s="43" t="s">
        <v>25</v>
      </c>
      <c r="E85" s="43" t="s">
        <v>180</v>
      </c>
      <c r="F85" s="43" t="s">
        <v>27</v>
      </c>
      <c r="G85" s="44">
        <v>35</v>
      </c>
      <c r="H85" s="43" t="s">
        <v>181</v>
      </c>
      <c r="I85" s="45">
        <v>8448</v>
      </c>
      <c r="J85" s="45">
        <v>3919</v>
      </c>
      <c r="K85" s="45">
        <v>5159</v>
      </c>
      <c r="L85" s="211">
        <f>IF(Table1[[#This Row],[Gross Profit]]&lt;&gt;0,Table1[[#This Row],[Gross Profit]]/Table1[[#This Row],[Revenue]],"")</f>
        <v>0.61067708333333337</v>
      </c>
      <c r="M85" s="45">
        <v>1468</v>
      </c>
      <c r="N85" s="45">
        <v>1468</v>
      </c>
      <c r="O85" s="45">
        <v>998</v>
      </c>
      <c r="P85" s="45">
        <v>4574</v>
      </c>
      <c r="Q85" s="6">
        <f t="shared" si="2"/>
        <v>0.1181344696969697</v>
      </c>
      <c r="R85" s="24"/>
      <c r="S85" s="3"/>
      <c r="T85" s="3"/>
    </row>
    <row r="86" spans="1:20" x14ac:dyDescent="0.35">
      <c r="A86" s="9"/>
      <c r="B86" s="42">
        <v>2018</v>
      </c>
      <c r="C86" s="43" t="s">
        <v>43</v>
      </c>
      <c r="D86" s="43" t="s">
        <v>29</v>
      </c>
      <c r="E86" s="43" t="s">
        <v>182</v>
      </c>
      <c r="F86" s="43" t="s">
        <v>27</v>
      </c>
      <c r="G86" s="44">
        <v>35</v>
      </c>
      <c r="H86" s="43" t="s">
        <v>183</v>
      </c>
      <c r="I86" s="45">
        <v>8276</v>
      </c>
      <c r="J86" s="45">
        <v>3153</v>
      </c>
      <c r="K86" s="45">
        <v>5123</v>
      </c>
      <c r="L86" s="211">
        <f>IF(Table1[[#This Row],[Gross Profit]]&lt;&gt;0,Table1[[#This Row],[Gross Profit]]/Table1[[#This Row],[Revenue]],"")</f>
        <v>0.61901884968583853</v>
      </c>
      <c r="M86" s="45">
        <v>2530</v>
      </c>
      <c r="N86" s="45">
        <v>2593</v>
      </c>
      <c r="O86" s="45">
        <v>1758</v>
      </c>
      <c r="P86" s="45">
        <v>3723</v>
      </c>
      <c r="Q86" s="6">
        <f t="shared" si="2"/>
        <v>0.2124214596423393</v>
      </c>
      <c r="R86" s="24"/>
      <c r="S86" s="3"/>
      <c r="T86" s="3"/>
    </row>
    <row r="87" spans="1:20" x14ac:dyDescent="0.35">
      <c r="A87" s="9"/>
      <c r="B87" s="42">
        <v>2018</v>
      </c>
      <c r="C87" s="43" t="s">
        <v>43</v>
      </c>
      <c r="D87" s="43" t="s">
        <v>31</v>
      </c>
      <c r="E87" s="43" t="s">
        <v>184</v>
      </c>
      <c r="F87" s="43" t="s">
        <v>166</v>
      </c>
      <c r="G87" s="44">
        <v>35</v>
      </c>
      <c r="H87" s="43" t="s">
        <v>185</v>
      </c>
      <c r="I87" s="45">
        <v>8784</v>
      </c>
      <c r="J87" s="45">
        <v>3456</v>
      </c>
      <c r="K87" s="45">
        <v>5325</v>
      </c>
      <c r="L87" s="211">
        <f>IF(Table1[[#This Row],[Gross Profit]]&lt;&gt;0,Table1[[#This Row],[Gross Profit]]/Table1[[#This Row],[Revenue]],"")</f>
        <v>0.60621584699453557</v>
      </c>
      <c r="M87" s="45">
        <v>4787</v>
      </c>
      <c r="N87" s="45">
        <v>538</v>
      </c>
      <c r="O87" s="45">
        <v>345</v>
      </c>
      <c r="P87" s="45">
        <v>3325</v>
      </c>
      <c r="Q87" s="6">
        <f t="shared" si="2"/>
        <v>3.9275956284153007E-2</v>
      </c>
      <c r="R87" s="24"/>
      <c r="S87" s="3"/>
      <c r="T87" s="3"/>
    </row>
    <row r="88" spans="1:20" x14ac:dyDescent="0.35">
      <c r="A88" s="3"/>
      <c r="B88" s="42">
        <v>2018</v>
      </c>
      <c r="C88" s="43" t="s">
        <v>43</v>
      </c>
      <c r="D88" s="43" t="s">
        <v>32</v>
      </c>
      <c r="E88" s="43" t="s">
        <v>186</v>
      </c>
      <c r="F88" s="43" t="s">
        <v>19</v>
      </c>
      <c r="G88" s="44">
        <v>150</v>
      </c>
      <c r="H88" s="43" t="s">
        <v>77</v>
      </c>
      <c r="I88" s="46">
        <v>15264</v>
      </c>
      <c r="J88" s="45">
        <v>6521</v>
      </c>
      <c r="K88" s="45">
        <v>8742</v>
      </c>
      <c r="L88" s="211">
        <f>IF(Table1[[#This Row],[Gross Profit]]&lt;&gt;0,Table1[[#This Row],[Gross Profit]]/Table1[[#This Row],[Revenue]],"")</f>
        <v>0.57272012578616349</v>
      </c>
      <c r="M88" s="45">
        <v>4737</v>
      </c>
      <c r="N88" s="45">
        <v>4005</v>
      </c>
      <c r="O88" s="45">
        <v>2780</v>
      </c>
      <c r="P88" s="45">
        <v>8253</v>
      </c>
      <c r="Q88" s="6">
        <f t="shared" si="2"/>
        <v>0.18212788259958071</v>
      </c>
      <c r="R88" s="24"/>
      <c r="S88" s="3"/>
      <c r="T88" s="3"/>
    </row>
    <row r="89" spans="1:20" x14ac:dyDescent="0.35">
      <c r="A89" s="9"/>
      <c r="B89" s="42">
        <v>2018</v>
      </c>
      <c r="C89" s="43" t="s">
        <v>43</v>
      </c>
      <c r="D89" s="43" t="s">
        <v>46</v>
      </c>
      <c r="E89" s="43" t="s">
        <v>187</v>
      </c>
      <c r="F89" s="43" t="s">
        <v>97</v>
      </c>
      <c r="G89" s="44">
        <v>150</v>
      </c>
      <c r="H89" s="43" t="s">
        <v>188</v>
      </c>
      <c r="I89" s="45">
        <v>9446</v>
      </c>
      <c r="J89" s="45">
        <v>5102</v>
      </c>
      <c r="K89" s="45">
        <v>4344</v>
      </c>
      <c r="L89" s="211">
        <f>IF(Table1[[#This Row],[Gross Profit]]&lt;&gt;0,Table1[[#This Row],[Gross Profit]]/Table1[[#This Row],[Revenue]],"")</f>
        <v>0.4598771966970146</v>
      </c>
      <c r="M89" s="45">
        <v>4556</v>
      </c>
      <c r="N89" s="45">
        <v>-213</v>
      </c>
      <c r="O89" s="45">
        <v>-75</v>
      </c>
      <c r="P89" s="45">
        <v>4354</v>
      </c>
      <c r="Q89" s="6">
        <f t="shared" si="2"/>
        <v>-7.9398687275037058E-3</v>
      </c>
      <c r="R89" s="24"/>
      <c r="S89" s="3"/>
      <c r="T89" s="3"/>
    </row>
    <row r="90" spans="1:20" x14ac:dyDescent="0.35">
      <c r="A90" s="9"/>
      <c r="B90" s="42">
        <v>2018</v>
      </c>
      <c r="C90" s="43" t="s">
        <v>43</v>
      </c>
      <c r="D90" s="43" t="s">
        <v>65</v>
      </c>
      <c r="E90" s="43" t="s">
        <v>189</v>
      </c>
      <c r="F90" s="43" t="s">
        <v>49</v>
      </c>
      <c r="G90" s="44">
        <v>75</v>
      </c>
      <c r="H90" s="43" t="s">
        <v>190</v>
      </c>
      <c r="I90" s="45">
        <v>9919</v>
      </c>
      <c r="J90" s="45">
        <v>5460</v>
      </c>
      <c r="K90" s="45">
        <v>4458</v>
      </c>
      <c r="L90" s="211">
        <f>IF(Table1[[#This Row],[Gross Profit]]&lt;&gt;0,Table1[[#This Row],[Gross Profit]]/Table1[[#This Row],[Revenue]],"")</f>
        <v>0.44944046778909164</v>
      </c>
      <c r="M90" s="45">
        <v>5182</v>
      </c>
      <c r="N90" s="45">
        <v>-723</v>
      </c>
      <c r="O90" s="45">
        <v>-547</v>
      </c>
      <c r="P90" s="45">
        <v>2509</v>
      </c>
      <c r="Q90" s="6">
        <f t="shared" si="2"/>
        <v>-5.514668817421111E-2</v>
      </c>
      <c r="R90" s="24"/>
      <c r="S90" s="3"/>
      <c r="T90" s="3"/>
    </row>
    <row r="91" spans="1:20" x14ac:dyDescent="0.35">
      <c r="A91" s="3"/>
      <c r="B91" s="47">
        <v>2019</v>
      </c>
      <c r="C91" s="48" t="s">
        <v>16</v>
      </c>
      <c r="D91" s="48" t="s">
        <v>17</v>
      </c>
      <c r="E91" s="48" t="s">
        <v>191</v>
      </c>
      <c r="F91" s="48" t="s">
        <v>97</v>
      </c>
      <c r="G91" s="49">
        <v>150</v>
      </c>
      <c r="H91" s="48" t="s">
        <v>192</v>
      </c>
      <c r="I91" s="50">
        <v>18838</v>
      </c>
      <c r="J91" s="51">
        <v>10821</v>
      </c>
      <c r="K91" s="51">
        <v>8017</v>
      </c>
      <c r="L91" s="212">
        <f>IF(Table1[[#This Row],[Gross Profit]]&lt;&gt;0,Table1[[#This Row],[Gross Profit]]/Table1[[#This Row],[Revenue]],"")</f>
        <v>0.42557596347807625</v>
      </c>
      <c r="M91" s="51">
        <v>6339</v>
      </c>
      <c r="N91" s="51">
        <v>1678</v>
      </c>
      <c r="O91" s="50">
        <v>1116</v>
      </c>
      <c r="P91" s="51">
        <v>7954</v>
      </c>
      <c r="Q91" s="6">
        <f t="shared" si="2"/>
        <v>5.9241957744983545E-2</v>
      </c>
      <c r="R91" s="3"/>
      <c r="S91" s="3"/>
      <c r="T91" s="3"/>
    </row>
    <row r="92" spans="1:20" x14ac:dyDescent="0.35">
      <c r="A92" s="9"/>
      <c r="B92" s="47">
        <v>2019</v>
      </c>
      <c r="C92" s="48" t="s">
        <v>16</v>
      </c>
      <c r="D92" s="48" t="s">
        <v>21</v>
      </c>
      <c r="E92" s="48" t="s">
        <v>193</v>
      </c>
      <c r="F92" s="48" t="s">
        <v>49</v>
      </c>
      <c r="G92" s="49">
        <v>75</v>
      </c>
      <c r="H92" s="48" t="s">
        <v>194</v>
      </c>
      <c r="I92" s="51">
        <v>12743</v>
      </c>
      <c r="J92" s="51">
        <v>8001</v>
      </c>
      <c r="K92" s="51">
        <v>4743</v>
      </c>
      <c r="L92" s="212">
        <f>IF(Table1[[#This Row],[Gross Profit]]&lt;&gt;0,Table1[[#This Row],[Gross Profit]]/Table1[[#This Row],[Revenue]],"")</f>
        <v>0.37220434748489367</v>
      </c>
      <c r="M92" s="51">
        <v>7166</v>
      </c>
      <c r="N92" s="51">
        <v>-2423</v>
      </c>
      <c r="O92" s="51">
        <v>-1742</v>
      </c>
      <c r="P92" s="51">
        <v>4151</v>
      </c>
      <c r="Q92" s="6">
        <f t="shared" si="2"/>
        <v>-0.1367025033351644</v>
      </c>
      <c r="R92" s="3"/>
      <c r="S92" s="3"/>
      <c r="T92" s="3"/>
    </row>
    <row r="93" spans="1:20" x14ac:dyDescent="0.35">
      <c r="A93" s="9"/>
      <c r="B93" s="47">
        <v>2019</v>
      </c>
      <c r="C93" s="48" t="s">
        <v>16</v>
      </c>
      <c r="D93" s="48" t="s">
        <v>25</v>
      </c>
      <c r="E93" s="48" t="s">
        <v>195</v>
      </c>
      <c r="F93" s="48" t="s">
        <v>196</v>
      </c>
      <c r="G93" s="49">
        <v>35</v>
      </c>
      <c r="H93" s="48" t="s">
        <v>197</v>
      </c>
      <c r="I93" s="51">
        <v>11393</v>
      </c>
      <c r="J93" s="51">
        <v>5499</v>
      </c>
      <c r="K93" s="51">
        <v>5894</v>
      </c>
      <c r="L93" s="212">
        <f>IF(Table1[[#This Row],[Gross Profit]]&lt;&gt;0,Table1[[#This Row],[Gross Profit]]/Table1[[#This Row],[Revenue]],"")</f>
        <v>0.51733520582814008</v>
      </c>
      <c r="M93" s="51">
        <v>5091</v>
      </c>
      <c r="N93" s="51">
        <v>802</v>
      </c>
      <c r="O93" s="51">
        <v>518</v>
      </c>
      <c r="P93" s="51">
        <v>4765</v>
      </c>
      <c r="Q93" s="6">
        <f t="shared" si="2"/>
        <v>4.5466514526463615E-2</v>
      </c>
      <c r="R93" s="3"/>
      <c r="S93" s="3"/>
      <c r="T93" s="3"/>
    </row>
    <row r="94" spans="1:20" x14ac:dyDescent="0.35">
      <c r="A94" s="3"/>
      <c r="B94" s="47">
        <v>2019</v>
      </c>
      <c r="C94" s="48" t="s">
        <v>16</v>
      </c>
      <c r="D94" s="48" t="s">
        <v>29</v>
      </c>
      <c r="E94" s="48" t="s">
        <v>198</v>
      </c>
      <c r="F94" s="48" t="s">
        <v>27</v>
      </c>
      <c r="G94" s="49">
        <v>35</v>
      </c>
      <c r="H94" s="48" t="s">
        <v>80</v>
      </c>
      <c r="I94" s="51">
        <v>6391</v>
      </c>
      <c r="J94" s="51">
        <v>2928</v>
      </c>
      <c r="K94" s="51">
        <v>3463</v>
      </c>
      <c r="L94" s="212">
        <f>IF(Table1[[#This Row],[Gross Profit]]&lt;&gt;0,Table1[[#This Row],[Gross Profit]]/Table1[[#This Row],[Revenue]],"")</f>
        <v>0.54185573462681902</v>
      </c>
      <c r="M94" s="51">
        <v>3998</v>
      </c>
      <c r="N94" s="51">
        <v>-535</v>
      </c>
      <c r="O94" s="51">
        <v>-417</v>
      </c>
      <c r="P94" s="51">
        <v>1909</v>
      </c>
      <c r="Q94" s="6">
        <f t="shared" si="2"/>
        <v>-6.5248005007041157E-2</v>
      </c>
      <c r="R94" s="3"/>
      <c r="S94" s="3"/>
      <c r="T94" s="3"/>
    </row>
    <row r="95" spans="1:20" x14ac:dyDescent="0.35">
      <c r="A95" s="9"/>
      <c r="B95" s="47">
        <v>2019</v>
      </c>
      <c r="C95" s="48" t="s">
        <v>16</v>
      </c>
      <c r="D95" s="48" t="s">
        <v>31</v>
      </c>
      <c r="E95" s="48" t="s">
        <v>199</v>
      </c>
      <c r="F95" s="48" t="s">
        <v>19</v>
      </c>
      <c r="G95" s="49">
        <v>150</v>
      </c>
      <c r="H95" s="48" t="s">
        <v>200</v>
      </c>
      <c r="I95" s="51">
        <v>13100</v>
      </c>
      <c r="J95" s="51">
        <v>7515</v>
      </c>
      <c r="K95" s="51">
        <v>5585</v>
      </c>
      <c r="L95" s="212">
        <f>IF(Table1[[#This Row],[Gross Profit]]&lt;&gt;0,Table1[[#This Row],[Gross Profit]]/Table1[[#This Row],[Revenue]],"")</f>
        <v>0.42633587786259541</v>
      </c>
      <c r="M95" s="51">
        <v>7340</v>
      </c>
      <c r="N95" s="51">
        <v>-1755</v>
      </c>
      <c r="O95" s="51">
        <v>-1309</v>
      </c>
      <c r="P95" s="51">
        <v>5709</v>
      </c>
      <c r="Q95" s="6">
        <f t="shared" si="2"/>
        <v>-9.9923664122137407E-2</v>
      </c>
      <c r="R95" s="3"/>
      <c r="S95" s="3"/>
      <c r="T95" s="3"/>
    </row>
    <row r="96" spans="1:20" x14ac:dyDescent="0.35">
      <c r="A96" s="9"/>
      <c r="B96" s="47">
        <v>2019</v>
      </c>
      <c r="C96" s="48" t="s">
        <v>16</v>
      </c>
      <c r="D96" s="48" t="s">
        <v>32</v>
      </c>
      <c r="E96" s="48" t="s">
        <v>201</v>
      </c>
      <c r="F96" s="48" t="s">
        <v>27</v>
      </c>
      <c r="G96" s="49">
        <v>35</v>
      </c>
      <c r="H96" s="48" t="s">
        <v>202</v>
      </c>
      <c r="I96" s="51">
        <v>8714</v>
      </c>
      <c r="J96" s="51">
        <v>5544</v>
      </c>
      <c r="K96" s="51">
        <v>3170</v>
      </c>
      <c r="L96" s="212">
        <f>IF(Table1[[#This Row],[Gross Profit]]&lt;&gt;0,Table1[[#This Row],[Gross Profit]]/Table1[[#This Row],[Revenue]],"")</f>
        <v>0.36378241909570808</v>
      </c>
      <c r="M96" s="51">
        <v>5054</v>
      </c>
      <c r="N96" s="51">
        <v>-1884</v>
      </c>
      <c r="O96" s="51">
        <v>-1376</v>
      </c>
      <c r="P96" s="51">
        <v>2346</v>
      </c>
      <c r="Q96" s="6">
        <f t="shared" si="2"/>
        <v>-0.15790681661693826</v>
      </c>
      <c r="R96" s="3"/>
      <c r="S96" s="3"/>
      <c r="T96" s="3"/>
    </row>
    <row r="97" spans="1:20" x14ac:dyDescent="0.35">
      <c r="A97" s="3"/>
      <c r="B97" s="47">
        <v>2019</v>
      </c>
      <c r="C97" s="48" t="s">
        <v>16</v>
      </c>
      <c r="D97" s="48" t="s">
        <v>46</v>
      </c>
      <c r="E97" s="48" t="s">
        <v>203</v>
      </c>
      <c r="F97" s="48" t="s">
        <v>27</v>
      </c>
      <c r="G97" s="49">
        <v>35</v>
      </c>
      <c r="H97" s="48" t="s">
        <v>204</v>
      </c>
      <c r="I97" s="51">
        <v>4732</v>
      </c>
      <c r="J97" s="51">
        <v>912</v>
      </c>
      <c r="K97" s="51">
        <v>3820</v>
      </c>
      <c r="L97" s="212">
        <f>IF(Table1[[#This Row],[Gross Profit]]&lt;&gt;0,Table1[[#This Row],[Gross Profit]]/Table1[[#This Row],[Revenue]],"")</f>
        <v>0.80726965342349954</v>
      </c>
      <c r="M97" s="51">
        <v>3714</v>
      </c>
      <c r="N97" s="51">
        <v>106</v>
      </c>
      <c r="O97" s="51">
        <v>28</v>
      </c>
      <c r="P97" s="51">
        <v>2460</v>
      </c>
      <c r="Q97" s="6">
        <f t="shared" si="2"/>
        <v>5.9171597633136093E-3</v>
      </c>
      <c r="R97" s="3"/>
      <c r="S97" s="3"/>
      <c r="T97" s="3"/>
    </row>
    <row r="98" spans="1:20" x14ac:dyDescent="0.35">
      <c r="A98" s="9"/>
      <c r="B98" s="47">
        <v>2019</v>
      </c>
      <c r="C98" s="48" t="s">
        <v>16</v>
      </c>
      <c r="D98" s="48" t="s">
        <v>65</v>
      </c>
      <c r="E98" s="48" t="s">
        <v>205</v>
      </c>
      <c r="F98" s="48" t="s">
        <v>27</v>
      </c>
      <c r="G98" s="49">
        <v>35</v>
      </c>
      <c r="H98" s="48" t="s">
        <v>202</v>
      </c>
      <c r="I98" s="51">
        <v>7226</v>
      </c>
      <c r="J98" s="51">
        <v>2393</v>
      </c>
      <c r="K98" s="51">
        <v>4833</v>
      </c>
      <c r="L98" s="212">
        <f>IF(Table1[[#This Row],[Gross Profit]]&lt;&gt;0,Table1[[#This Row],[Gross Profit]]/Table1[[#This Row],[Revenue]],"")</f>
        <v>0.66883476335455305</v>
      </c>
      <c r="M98" s="51">
        <v>4687</v>
      </c>
      <c r="N98" s="51">
        <v>146</v>
      </c>
      <c r="O98" s="51">
        <v>150</v>
      </c>
      <c r="P98" s="51">
        <v>2772</v>
      </c>
      <c r="Q98" s="6">
        <f t="shared" si="2"/>
        <v>2.0758372543592581E-2</v>
      </c>
      <c r="R98" s="3"/>
      <c r="S98" s="3"/>
      <c r="T98" s="3"/>
    </row>
    <row r="99" spans="1:20" x14ac:dyDescent="0.35">
      <c r="A99" s="9"/>
      <c r="B99" s="47">
        <v>2019</v>
      </c>
      <c r="C99" s="48" t="s">
        <v>16</v>
      </c>
      <c r="D99" s="48" t="s">
        <v>79</v>
      </c>
      <c r="E99" s="48" t="s">
        <v>206</v>
      </c>
      <c r="F99" s="48" t="s">
        <v>27</v>
      </c>
      <c r="G99" s="49">
        <v>35</v>
      </c>
      <c r="H99" s="48" t="s">
        <v>204</v>
      </c>
      <c r="I99" s="51">
        <v>4719</v>
      </c>
      <c r="J99" s="51">
        <v>1830</v>
      </c>
      <c r="K99" s="51">
        <v>2889</v>
      </c>
      <c r="L99" s="212">
        <f>IF(Table1[[#This Row],[Gross Profit]]&lt;&gt;0,Table1[[#This Row],[Gross Profit]]/Table1[[#This Row],[Revenue]],"")</f>
        <v>0.61220597584233949</v>
      </c>
      <c r="M99" s="51">
        <v>4635</v>
      </c>
      <c r="N99" s="51">
        <v>-1746</v>
      </c>
      <c r="O99" s="51">
        <v>-1293</v>
      </c>
      <c r="P99" s="51">
        <v>1948</v>
      </c>
      <c r="Q99" s="6">
        <f t="shared" ref="Q99:Q130" si="3">IFERROR(O99/I99,0)</f>
        <v>-0.27399872854418311</v>
      </c>
      <c r="R99" s="3"/>
      <c r="S99" s="3"/>
      <c r="T99" s="3"/>
    </row>
    <row r="100" spans="1:20" x14ac:dyDescent="0.35">
      <c r="A100" s="3"/>
      <c r="B100" s="52">
        <v>2019</v>
      </c>
      <c r="C100" s="53" t="s">
        <v>36</v>
      </c>
      <c r="D100" s="53" t="s">
        <v>17</v>
      </c>
      <c r="E100" s="53" t="s">
        <v>207</v>
      </c>
      <c r="F100" s="53" t="s">
        <v>27</v>
      </c>
      <c r="G100" s="54">
        <v>35</v>
      </c>
      <c r="H100" s="53" t="s">
        <v>208</v>
      </c>
      <c r="I100" s="54">
        <v>6684</v>
      </c>
      <c r="J100" s="54">
        <v>6327</v>
      </c>
      <c r="K100" s="54">
        <v>357</v>
      </c>
      <c r="L100" s="213">
        <f>IF(Table1[[#This Row],[Gross Profit]]&lt;&gt;0,Table1[[#This Row],[Gross Profit]]/Table1[[#This Row],[Revenue]],"")</f>
        <v>5.3411131059245963E-2</v>
      </c>
      <c r="M100" s="54">
        <v>4116</v>
      </c>
      <c r="N100" s="54">
        <v>-3759</v>
      </c>
      <c r="O100" s="55">
        <v>-2659</v>
      </c>
      <c r="P100" s="54">
        <v>3265</v>
      </c>
      <c r="Q100" s="6">
        <f t="shared" si="3"/>
        <v>-0.39781567923399164</v>
      </c>
      <c r="R100" s="3"/>
      <c r="S100" s="3"/>
      <c r="T100" s="3"/>
    </row>
    <row r="101" spans="1:20" x14ac:dyDescent="0.35">
      <c r="A101" s="9"/>
      <c r="B101" s="52">
        <v>2019</v>
      </c>
      <c r="C101" s="53" t="s">
        <v>36</v>
      </c>
      <c r="D101" s="53" t="s">
        <v>21</v>
      </c>
      <c r="E101" s="53" t="s">
        <v>209</v>
      </c>
      <c r="F101" s="53" t="s">
        <v>49</v>
      </c>
      <c r="G101" s="54">
        <v>75</v>
      </c>
      <c r="H101" s="53" t="s">
        <v>210</v>
      </c>
      <c r="I101" s="54">
        <v>7560</v>
      </c>
      <c r="J101" s="54">
        <v>3506</v>
      </c>
      <c r="K101" s="54">
        <v>4054</v>
      </c>
      <c r="L101" s="213">
        <f>IF(Table1[[#This Row],[Gross Profit]]&lt;&gt;0,Table1[[#This Row],[Gross Profit]]/Table1[[#This Row],[Revenue]],"")</f>
        <v>0.53624338624338619</v>
      </c>
      <c r="M101" s="54">
        <v>7271</v>
      </c>
      <c r="N101" s="54">
        <v>-3217</v>
      </c>
      <c r="O101" s="54">
        <v>-2326</v>
      </c>
      <c r="P101" s="54">
        <v>1679</v>
      </c>
      <c r="Q101" s="6">
        <f t="shared" si="3"/>
        <v>-0.30767195767195765</v>
      </c>
      <c r="R101" s="3"/>
      <c r="S101" s="3"/>
      <c r="T101" s="3"/>
    </row>
    <row r="102" spans="1:20" x14ac:dyDescent="0.35">
      <c r="A102" s="9"/>
      <c r="B102" s="52">
        <v>2019</v>
      </c>
      <c r="C102" s="53" t="s">
        <v>36</v>
      </c>
      <c r="D102" s="53" t="s">
        <v>25</v>
      </c>
      <c r="E102" s="53" t="s">
        <v>211</v>
      </c>
      <c r="F102" s="53" t="s">
        <v>23</v>
      </c>
      <c r="G102" s="54">
        <v>25</v>
      </c>
      <c r="H102" s="53" t="s">
        <v>212</v>
      </c>
      <c r="I102" s="54">
        <v>4612</v>
      </c>
      <c r="J102" s="54">
        <v>2347</v>
      </c>
      <c r="K102" s="54">
        <v>2265</v>
      </c>
      <c r="L102" s="213">
        <f>IF(Table1[[#This Row],[Gross Profit]]&lt;&gt;0,Table1[[#This Row],[Gross Profit]]/Table1[[#This Row],[Revenue]],"")</f>
        <v>0.49111014744145709</v>
      </c>
      <c r="M102" s="54">
        <v>3198</v>
      </c>
      <c r="N102" s="54">
        <v>-933</v>
      </c>
      <c r="O102" s="54">
        <v>-752</v>
      </c>
      <c r="P102" s="54">
        <v>950</v>
      </c>
      <c r="Q102" s="6">
        <f t="shared" si="3"/>
        <v>-0.16305290546400694</v>
      </c>
      <c r="R102" s="3"/>
      <c r="S102" s="3"/>
      <c r="T102" s="3"/>
    </row>
    <row r="103" spans="1:20" x14ac:dyDescent="0.35">
      <c r="A103" s="3"/>
      <c r="B103" s="52">
        <v>2019</v>
      </c>
      <c r="C103" s="53" t="s">
        <v>36</v>
      </c>
      <c r="D103" s="53" t="s">
        <v>29</v>
      </c>
      <c r="E103" s="53" t="s">
        <v>213</v>
      </c>
      <c r="F103" s="53" t="s">
        <v>19</v>
      </c>
      <c r="G103" s="54">
        <v>150</v>
      </c>
      <c r="H103" s="53" t="s">
        <v>214</v>
      </c>
      <c r="I103" s="54">
        <v>9183</v>
      </c>
      <c r="J103" s="54">
        <v>3947</v>
      </c>
      <c r="K103" s="54">
        <v>5236</v>
      </c>
      <c r="L103" s="213">
        <f>IF(Table1[[#This Row],[Gross Profit]]&lt;&gt;0,Table1[[#This Row],[Gross Profit]]/Table1[[#This Row],[Revenue]],"")</f>
        <v>0.57018403571817489</v>
      </c>
      <c r="M103" s="54">
        <v>7191</v>
      </c>
      <c r="N103" s="54">
        <v>-1955</v>
      </c>
      <c r="O103" s="54">
        <v>-1410</v>
      </c>
      <c r="P103" s="54">
        <v>2217</v>
      </c>
      <c r="Q103" s="6">
        <f t="shared" si="3"/>
        <v>-0.15354459327017314</v>
      </c>
      <c r="R103" s="3"/>
      <c r="S103" s="3"/>
      <c r="T103" s="3"/>
    </row>
    <row r="104" spans="1:20" x14ac:dyDescent="0.35">
      <c r="A104" s="9"/>
      <c r="B104" s="52">
        <v>2019</v>
      </c>
      <c r="C104" s="53" t="s">
        <v>36</v>
      </c>
      <c r="D104" s="53" t="s">
        <v>31</v>
      </c>
      <c r="E104" s="53" t="s">
        <v>215</v>
      </c>
      <c r="F104" s="53" t="s">
        <v>97</v>
      </c>
      <c r="G104" s="54">
        <v>150</v>
      </c>
      <c r="H104" s="53" t="s">
        <v>216</v>
      </c>
      <c r="I104" s="54">
        <v>13878</v>
      </c>
      <c r="J104" s="54">
        <v>7978</v>
      </c>
      <c r="K104" s="54">
        <v>5900</v>
      </c>
      <c r="L104" s="213">
        <f>IF(Table1[[#This Row],[Gross Profit]]&lt;&gt;0,Table1[[#This Row],[Gross Profit]]/Table1[[#This Row],[Revenue]],"")</f>
        <v>0.42513330451073644</v>
      </c>
      <c r="M104" s="54">
        <v>8376</v>
      </c>
      <c r="N104" s="54">
        <v>-2476</v>
      </c>
      <c r="O104" s="54">
        <v>1765</v>
      </c>
      <c r="P104" s="54">
        <v>3726</v>
      </c>
      <c r="Q104" s="6">
        <f t="shared" si="3"/>
        <v>0.12717970889177116</v>
      </c>
      <c r="R104" s="3"/>
      <c r="S104" s="3"/>
      <c r="T104" s="3"/>
    </row>
    <row r="105" spans="1:20" x14ac:dyDescent="0.35">
      <c r="A105" s="9"/>
      <c r="B105" s="52">
        <v>2019</v>
      </c>
      <c r="C105" s="53" t="s">
        <v>36</v>
      </c>
      <c r="D105" s="53" t="s">
        <v>32</v>
      </c>
      <c r="E105" s="53" t="s">
        <v>217</v>
      </c>
      <c r="F105" s="53" t="s">
        <v>23</v>
      </c>
      <c r="G105" s="54">
        <v>35</v>
      </c>
      <c r="H105" s="53" t="s">
        <v>218</v>
      </c>
      <c r="I105" s="54">
        <v>4845</v>
      </c>
      <c r="J105" s="54">
        <v>4257</v>
      </c>
      <c r="K105" s="54">
        <v>588</v>
      </c>
      <c r="L105" s="213">
        <f>IF(Table1[[#This Row],[Gross Profit]]&lt;&gt;0,Table1[[#This Row],[Gross Profit]]/Table1[[#This Row],[Revenue]],"")</f>
        <v>0.12136222910216718</v>
      </c>
      <c r="M105" s="54">
        <v>3398</v>
      </c>
      <c r="N105" s="54">
        <v>-2810</v>
      </c>
      <c r="O105" s="54">
        <v>-2060</v>
      </c>
      <c r="P105" s="54">
        <v>0</v>
      </c>
      <c r="Q105" s="6">
        <f t="shared" si="3"/>
        <v>-0.42518059855521156</v>
      </c>
      <c r="R105" s="3"/>
      <c r="S105" s="3"/>
      <c r="T105" s="3"/>
    </row>
    <row r="106" spans="1:20" x14ac:dyDescent="0.35">
      <c r="A106" s="3"/>
      <c r="B106" s="52">
        <v>2019</v>
      </c>
      <c r="C106" s="53" t="s">
        <v>36</v>
      </c>
      <c r="D106" s="53" t="s">
        <v>46</v>
      </c>
      <c r="E106" s="53" t="s">
        <v>219</v>
      </c>
      <c r="F106" s="53" t="s">
        <v>27</v>
      </c>
      <c r="G106" s="54">
        <v>35</v>
      </c>
      <c r="H106" s="53" t="s">
        <v>220</v>
      </c>
      <c r="I106" s="54">
        <v>9043</v>
      </c>
      <c r="J106" s="54">
        <v>3049</v>
      </c>
      <c r="K106" s="54">
        <v>5994</v>
      </c>
      <c r="L106" s="213">
        <f>IF(Table1[[#This Row],[Gross Profit]]&lt;&gt;0,Table1[[#This Row],[Gross Profit]]/Table1[[#This Row],[Revenue]],"")</f>
        <v>0.66283313059825277</v>
      </c>
      <c r="M106" s="54">
        <v>3834</v>
      </c>
      <c r="N106" s="54">
        <v>2160</v>
      </c>
      <c r="O106" s="54">
        <v>1479</v>
      </c>
      <c r="P106" s="54">
        <v>6551</v>
      </c>
      <c r="Q106" s="6">
        <f t="shared" si="3"/>
        <v>0.1635519186110804</v>
      </c>
      <c r="R106" s="3"/>
      <c r="S106" s="3"/>
      <c r="T106" s="3"/>
    </row>
    <row r="107" spans="1:20" x14ac:dyDescent="0.35">
      <c r="A107" s="9"/>
      <c r="B107" s="52">
        <v>2019</v>
      </c>
      <c r="C107" s="53" t="s">
        <v>36</v>
      </c>
      <c r="D107" s="53" t="s">
        <v>65</v>
      </c>
      <c r="E107" s="53" t="s">
        <v>221</v>
      </c>
      <c r="F107" s="53" t="s">
        <v>27</v>
      </c>
      <c r="G107" s="54">
        <v>25</v>
      </c>
      <c r="H107" s="53" t="s">
        <v>89</v>
      </c>
      <c r="I107" s="54">
        <v>9088</v>
      </c>
      <c r="J107" s="54">
        <v>3249</v>
      </c>
      <c r="K107" s="54">
        <v>5839</v>
      </c>
      <c r="L107" s="213">
        <f>IF(Table1[[#This Row],[Gross Profit]]&lt;&gt;0,Table1[[#This Row],[Gross Profit]]/Table1[[#This Row],[Revenue]],"")</f>
        <v>0.64249559859154926</v>
      </c>
      <c r="M107" s="54">
        <v>7319</v>
      </c>
      <c r="N107" s="54">
        <v>-1480</v>
      </c>
      <c r="O107" s="54">
        <v>-1084</v>
      </c>
      <c r="P107" s="54">
        <v>3333</v>
      </c>
      <c r="Q107" s="6">
        <f t="shared" si="3"/>
        <v>-0.1192781690140845</v>
      </c>
      <c r="R107" s="3"/>
      <c r="S107" s="3"/>
      <c r="T107" s="3"/>
    </row>
    <row r="108" spans="1:20" x14ac:dyDescent="0.35">
      <c r="A108" s="9"/>
      <c r="B108" s="56">
        <v>2019</v>
      </c>
      <c r="C108" s="57" t="s">
        <v>43</v>
      </c>
      <c r="D108" s="57" t="s">
        <v>17</v>
      </c>
      <c r="E108" s="57" t="s">
        <v>222</v>
      </c>
      <c r="F108" s="57" t="s">
        <v>27</v>
      </c>
      <c r="G108" s="58">
        <v>35</v>
      </c>
      <c r="H108" s="57" t="s">
        <v>223</v>
      </c>
      <c r="I108" s="58">
        <v>3806</v>
      </c>
      <c r="J108" s="58">
        <v>2140</v>
      </c>
      <c r="K108" s="58">
        <v>1666</v>
      </c>
      <c r="L108" s="214">
        <f>IF(Table1[[#This Row],[Gross Profit]]&lt;&gt;0,Table1[[#This Row],[Gross Profit]]/Table1[[#This Row],[Revenue]],"")</f>
        <v>0.43772990015764585</v>
      </c>
      <c r="M108" s="58">
        <v>2772</v>
      </c>
      <c r="N108" s="58">
        <v>-1106</v>
      </c>
      <c r="O108" s="58">
        <v>-816</v>
      </c>
      <c r="P108" s="58">
        <v>286</v>
      </c>
      <c r="Q108" s="6">
        <f t="shared" si="3"/>
        <v>-0.21439831844456123</v>
      </c>
      <c r="R108" s="3"/>
      <c r="S108" s="3"/>
      <c r="T108" s="3"/>
    </row>
    <row r="109" spans="1:20" x14ac:dyDescent="0.35">
      <c r="A109" s="3"/>
      <c r="B109" s="56">
        <v>2019</v>
      </c>
      <c r="C109" s="57" t="s">
        <v>43</v>
      </c>
      <c r="D109" s="57" t="s">
        <v>21</v>
      </c>
      <c r="E109" s="57" t="s">
        <v>41</v>
      </c>
      <c r="F109" s="57" t="s">
        <v>19</v>
      </c>
      <c r="G109" s="58">
        <v>150</v>
      </c>
      <c r="H109" s="57" t="s">
        <v>224</v>
      </c>
      <c r="I109" s="58">
        <v>11973</v>
      </c>
      <c r="J109" s="58">
        <v>6906</v>
      </c>
      <c r="K109" s="58">
        <v>5067</v>
      </c>
      <c r="L109" s="214">
        <f>IF(Table1[[#This Row],[Gross Profit]]&lt;&gt;0,Table1[[#This Row],[Gross Profit]]/Table1[[#This Row],[Revenue]],"")</f>
        <v>0.42320220496116262</v>
      </c>
      <c r="M109" s="58">
        <v>3782</v>
      </c>
      <c r="N109" s="58">
        <v>1285</v>
      </c>
      <c r="O109" s="58">
        <v>863</v>
      </c>
      <c r="P109" s="58">
        <v>5959</v>
      </c>
      <c r="Q109" s="6">
        <f t="shared" si="3"/>
        <v>7.2078844065814746E-2</v>
      </c>
      <c r="R109" s="3"/>
      <c r="S109" s="3"/>
      <c r="T109" s="3"/>
    </row>
    <row r="110" spans="1:20" x14ac:dyDescent="0.35">
      <c r="A110" s="9"/>
      <c r="B110" s="56">
        <v>2019</v>
      </c>
      <c r="C110" s="57" t="s">
        <v>43</v>
      </c>
      <c r="D110" s="57" t="s">
        <v>25</v>
      </c>
      <c r="E110" s="57" t="s">
        <v>225</v>
      </c>
      <c r="F110" s="57" t="s">
        <v>27</v>
      </c>
      <c r="G110" s="58">
        <v>35</v>
      </c>
      <c r="H110" s="57" t="s">
        <v>226</v>
      </c>
      <c r="I110" s="58">
        <v>7498</v>
      </c>
      <c r="J110" s="58">
        <v>1924</v>
      </c>
      <c r="K110" s="58">
        <v>5575</v>
      </c>
      <c r="L110" s="214">
        <f>IF(Table1[[#This Row],[Gross Profit]]&lt;&gt;0,Table1[[#This Row],[Gross Profit]]/Table1[[#This Row],[Revenue]],"")</f>
        <v>0.74353160842891441</v>
      </c>
      <c r="M110" s="58">
        <v>4234</v>
      </c>
      <c r="N110" s="58">
        <v>1341</v>
      </c>
      <c r="O110" s="58">
        <v>911</v>
      </c>
      <c r="P110" s="58">
        <v>3268</v>
      </c>
      <c r="Q110" s="6">
        <f t="shared" si="3"/>
        <v>0.1214990664177114</v>
      </c>
      <c r="R110" s="3"/>
      <c r="S110" s="3"/>
      <c r="T110" s="3"/>
    </row>
    <row r="111" spans="1:20" x14ac:dyDescent="0.35">
      <c r="A111" s="9"/>
      <c r="B111" s="56">
        <v>2019</v>
      </c>
      <c r="C111" s="57" t="s">
        <v>43</v>
      </c>
      <c r="D111" s="57" t="s">
        <v>29</v>
      </c>
      <c r="E111" s="57" t="s">
        <v>227</v>
      </c>
      <c r="F111" s="57" t="s">
        <v>27</v>
      </c>
      <c r="G111" s="58">
        <v>35</v>
      </c>
      <c r="H111" s="57" t="s">
        <v>228</v>
      </c>
      <c r="I111" s="58">
        <v>5471</v>
      </c>
      <c r="J111" s="58">
        <v>1786</v>
      </c>
      <c r="K111" s="58">
        <v>3685</v>
      </c>
      <c r="L111" s="214">
        <f>IF(Table1[[#This Row],[Gross Profit]]&lt;&gt;0,Table1[[#This Row],[Gross Profit]]/Table1[[#This Row],[Revenue]],"")</f>
        <v>0.67355145311643205</v>
      </c>
      <c r="M111" s="58">
        <v>2937</v>
      </c>
      <c r="N111" s="58">
        <v>748</v>
      </c>
      <c r="O111" s="58">
        <v>462</v>
      </c>
      <c r="P111" s="58">
        <v>1711</v>
      </c>
      <c r="Q111" s="6">
        <f t="shared" si="3"/>
        <v>8.4445256808627314E-2</v>
      </c>
      <c r="R111" s="3"/>
      <c r="S111" s="3"/>
      <c r="T111" s="3"/>
    </row>
    <row r="112" spans="1:20" x14ac:dyDescent="0.35">
      <c r="A112" s="3"/>
      <c r="B112" s="56">
        <v>2019</v>
      </c>
      <c r="C112" s="57" t="s">
        <v>43</v>
      </c>
      <c r="D112" s="57" t="s">
        <v>31</v>
      </c>
      <c r="E112" s="57" t="s">
        <v>229</v>
      </c>
      <c r="F112" s="57" t="s">
        <v>27</v>
      </c>
      <c r="G112" s="58">
        <v>35</v>
      </c>
      <c r="H112" s="57" t="s">
        <v>230</v>
      </c>
      <c r="I112" s="58">
        <v>6984</v>
      </c>
      <c r="J112" s="58">
        <v>2320</v>
      </c>
      <c r="K112" s="58">
        <v>4574</v>
      </c>
      <c r="L112" s="214">
        <f>IF(Table1[[#This Row],[Gross Profit]]&lt;&gt;0,Table1[[#This Row],[Gross Profit]]/Table1[[#This Row],[Revenue]],"")</f>
        <v>0.65492554410080184</v>
      </c>
      <c r="M112" s="58">
        <v>5895</v>
      </c>
      <c r="N112" s="58">
        <v>-1321</v>
      </c>
      <c r="O112" s="58">
        <v>-978</v>
      </c>
      <c r="P112" s="58">
        <v>1890</v>
      </c>
      <c r="Q112" s="6">
        <f t="shared" si="3"/>
        <v>-0.14003436426116839</v>
      </c>
      <c r="R112" s="3"/>
      <c r="S112" s="3"/>
      <c r="T112" s="3"/>
    </row>
    <row r="113" spans="1:20" x14ac:dyDescent="0.35">
      <c r="A113" s="9"/>
      <c r="B113" s="56">
        <v>2019</v>
      </c>
      <c r="C113" s="57" t="s">
        <v>43</v>
      </c>
      <c r="D113" s="57" t="s">
        <v>32</v>
      </c>
      <c r="E113" s="57" t="s">
        <v>231</v>
      </c>
      <c r="F113" s="57" t="s">
        <v>23</v>
      </c>
      <c r="G113" s="58">
        <v>35</v>
      </c>
      <c r="H113" s="57" t="s">
        <v>232</v>
      </c>
      <c r="I113" s="58">
        <v>5248</v>
      </c>
      <c r="J113" s="58">
        <v>1233</v>
      </c>
      <c r="K113" s="58">
        <v>4015</v>
      </c>
      <c r="L113" s="214">
        <f>IF(Table1[[#This Row],[Gross Profit]]&lt;&gt;0,Table1[[#This Row],[Gross Profit]]/Table1[[#This Row],[Revenue]],"")</f>
        <v>0.76505335365853655</v>
      </c>
      <c r="M113" s="58">
        <v>5082</v>
      </c>
      <c r="N113" s="58">
        <v>-1067</v>
      </c>
      <c r="O113" s="58">
        <v>-795</v>
      </c>
      <c r="P113" s="58">
        <v>1955</v>
      </c>
      <c r="Q113" s="6">
        <f t="shared" si="3"/>
        <v>-0.15148628048780488</v>
      </c>
      <c r="R113" s="3"/>
      <c r="S113" s="3"/>
      <c r="T113" s="3"/>
    </row>
    <row r="114" spans="1:20" x14ac:dyDescent="0.35">
      <c r="A114" s="9"/>
      <c r="B114" s="56">
        <v>2019</v>
      </c>
      <c r="C114" s="57" t="s">
        <v>43</v>
      </c>
      <c r="D114" s="57" t="s">
        <v>46</v>
      </c>
      <c r="E114" s="57" t="s">
        <v>233</v>
      </c>
      <c r="F114" s="57" t="s">
        <v>97</v>
      </c>
      <c r="G114" s="58">
        <v>150</v>
      </c>
      <c r="H114" s="57" t="s">
        <v>234</v>
      </c>
      <c r="I114" s="58">
        <v>5697</v>
      </c>
      <c r="J114" s="58">
        <v>1436</v>
      </c>
      <c r="K114" s="58">
        <v>4261</v>
      </c>
      <c r="L114" s="214">
        <f>IF(Table1[[#This Row],[Gross Profit]]&lt;&gt;0,Table1[[#This Row],[Gross Profit]]/Table1[[#This Row],[Revenue]],"")</f>
        <v>0.74793751097068628</v>
      </c>
      <c r="M114" s="58">
        <v>4515</v>
      </c>
      <c r="N114" s="58">
        <v>-254</v>
      </c>
      <c r="O114" s="58">
        <v>-207</v>
      </c>
      <c r="P114" s="58">
        <v>1660</v>
      </c>
      <c r="Q114" s="6">
        <f t="shared" si="3"/>
        <v>-3.6334913112164295E-2</v>
      </c>
      <c r="R114" s="3"/>
      <c r="S114" s="3"/>
      <c r="T114" s="3"/>
    </row>
    <row r="115" spans="1:20" x14ac:dyDescent="0.35">
      <c r="A115" s="3"/>
      <c r="B115" s="56">
        <v>2019</v>
      </c>
      <c r="C115" s="57" t="s">
        <v>43</v>
      </c>
      <c r="D115" s="57" t="s">
        <v>65</v>
      </c>
      <c r="E115" s="57" t="s">
        <v>235</v>
      </c>
      <c r="F115" s="57" t="s">
        <v>49</v>
      </c>
      <c r="G115" s="58">
        <v>75</v>
      </c>
      <c r="H115" s="57" t="s">
        <v>236</v>
      </c>
      <c r="I115" s="58">
        <v>3428</v>
      </c>
      <c r="J115" s="58">
        <v>2512</v>
      </c>
      <c r="K115" s="58">
        <v>916</v>
      </c>
      <c r="L115" s="214">
        <f>IF(Table1[[#This Row],[Gross Profit]]&lt;&gt;0,Table1[[#This Row],[Gross Profit]]/Table1[[#This Row],[Revenue]],"")</f>
        <v>0.26721120186697783</v>
      </c>
      <c r="M115" s="58">
        <v>2360</v>
      </c>
      <c r="N115" s="58">
        <v>-1444</v>
      </c>
      <c r="O115" s="58">
        <v>-1059</v>
      </c>
      <c r="P115" s="58">
        <v>-197</v>
      </c>
      <c r="Q115" s="6">
        <f t="shared" si="3"/>
        <v>-0.308926487747958</v>
      </c>
      <c r="R115" s="3"/>
      <c r="S115" s="3"/>
      <c r="T115" s="3"/>
    </row>
    <row r="116" spans="1:20" x14ac:dyDescent="0.35">
      <c r="A116" s="9"/>
      <c r="B116" s="59">
        <v>2020</v>
      </c>
      <c r="C116" s="60" t="s">
        <v>16</v>
      </c>
      <c r="D116" s="60" t="s">
        <v>17</v>
      </c>
      <c r="E116" s="60" t="s">
        <v>237</v>
      </c>
      <c r="F116" s="60" t="s">
        <v>23</v>
      </c>
      <c r="G116" s="61">
        <v>35</v>
      </c>
      <c r="H116" s="60" t="s">
        <v>238</v>
      </c>
      <c r="I116" s="61">
        <v>3644</v>
      </c>
      <c r="J116" s="61">
        <v>2621</v>
      </c>
      <c r="K116" s="61">
        <v>971</v>
      </c>
      <c r="L116" s="215">
        <f>IF(Table1[[#This Row],[Gross Profit]]&lt;&gt;0,Table1[[#This Row],[Gross Profit]]/Table1[[#This Row],[Revenue]],"")</f>
        <v>0.26646542261251371</v>
      </c>
      <c r="M116" s="61">
        <v>2046</v>
      </c>
      <c r="N116" s="61">
        <v>-1075</v>
      </c>
      <c r="O116" s="61">
        <v>-812</v>
      </c>
      <c r="P116" s="61">
        <v>1362</v>
      </c>
      <c r="Q116" s="6">
        <f t="shared" si="3"/>
        <v>-0.22283205268935236</v>
      </c>
      <c r="R116" s="3"/>
      <c r="S116" s="3"/>
      <c r="T116" s="3"/>
    </row>
    <row r="117" spans="1:20" x14ac:dyDescent="0.35">
      <c r="A117" s="9"/>
      <c r="B117" s="59">
        <v>2020</v>
      </c>
      <c r="C117" s="60" t="s">
        <v>16</v>
      </c>
      <c r="D117" s="60" t="s">
        <v>21</v>
      </c>
      <c r="E117" s="60" t="s">
        <v>239</v>
      </c>
      <c r="F117" s="60" t="s">
        <v>19</v>
      </c>
      <c r="G117" s="61">
        <v>150</v>
      </c>
      <c r="H117" s="60" t="s">
        <v>240</v>
      </c>
      <c r="I117" s="61">
        <v>6987</v>
      </c>
      <c r="J117" s="61">
        <v>3711</v>
      </c>
      <c r="K117" s="61">
        <v>3276</v>
      </c>
      <c r="L117" s="215">
        <f>IF(Table1[[#This Row],[Gross Profit]]&lt;&gt;0,Table1[[#This Row],[Gross Profit]]/Table1[[#This Row],[Revenue]],"")</f>
        <v>0.46887075998282524</v>
      </c>
      <c r="M117" s="61">
        <v>4663</v>
      </c>
      <c r="N117" s="61">
        <v>-1388</v>
      </c>
      <c r="O117" s="61">
        <v>-1009</v>
      </c>
      <c r="P117" s="61">
        <v>735</v>
      </c>
      <c r="Q117" s="6">
        <f t="shared" si="3"/>
        <v>-0.14441104909116931</v>
      </c>
      <c r="R117" s="3"/>
      <c r="S117" s="3"/>
      <c r="T117" s="3"/>
    </row>
    <row r="118" spans="1:20" x14ac:dyDescent="0.35">
      <c r="A118" s="3"/>
      <c r="B118" s="59">
        <v>2020</v>
      </c>
      <c r="C118" s="60" t="s">
        <v>16</v>
      </c>
      <c r="D118" s="60" t="s">
        <v>25</v>
      </c>
      <c r="E118" s="60" t="s">
        <v>241</v>
      </c>
      <c r="F118" s="60" t="s">
        <v>27</v>
      </c>
      <c r="G118" s="61">
        <v>35</v>
      </c>
      <c r="H118" s="60" t="s">
        <v>242</v>
      </c>
      <c r="I118" s="61">
        <v>1702</v>
      </c>
      <c r="J118" s="61">
        <v>1085</v>
      </c>
      <c r="K118" s="61">
        <v>617</v>
      </c>
      <c r="L118" s="215">
        <f>IF(Table1[[#This Row],[Gross Profit]]&lt;&gt;0,Table1[[#This Row],[Gross Profit]]/Table1[[#This Row],[Revenue]],"")</f>
        <v>0.3625146886016451</v>
      </c>
      <c r="M118" s="61">
        <v>1554</v>
      </c>
      <c r="N118" s="61">
        <v>-937</v>
      </c>
      <c r="O118" s="61">
        <v>-712</v>
      </c>
      <c r="P118" s="61">
        <v>1012</v>
      </c>
      <c r="Q118" s="6">
        <f t="shared" si="3"/>
        <v>-0.418331374853114</v>
      </c>
      <c r="R118" s="3"/>
      <c r="S118" s="3"/>
      <c r="T118" s="3"/>
    </row>
    <row r="119" spans="1:20" x14ac:dyDescent="0.35">
      <c r="A119" s="9"/>
      <c r="B119" s="59">
        <v>2020</v>
      </c>
      <c r="C119" s="60" t="s">
        <v>16</v>
      </c>
      <c r="D119" s="60" t="s">
        <v>29</v>
      </c>
      <c r="E119" s="60" t="s">
        <v>243</v>
      </c>
      <c r="F119" s="60" t="s">
        <v>27</v>
      </c>
      <c r="G119" s="61">
        <v>35</v>
      </c>
      <c r="H119" s="60" t="s">
        <v>244</v>
      </c>
      <c r="I119" s="61">
        <v>1604</v>
      </c>
      <c r="J119" s="61">
        <v>1760</v>
      </c>
      <c r="K119" s="61">
        <v>-157</v>
      </c>
      <c r="L119" s="215">
        <f>IF(Table1[[#This Row],[Gross Profit]]&lt;&gt;0,Table1[[#This Row],[Gross Profit]]/Table1[[#This Row],[Revenue]],"")</f>
        <v>-9.788029925187032E-2</v>
      </c>
      <c r="M119" s="61">
        <v>1057</v>
      </c>
      <c r="N119" s="61">
        <v>-1214</v>
      </c>
      <c r="O119" s="61">
        <v>-895</v>
      </c>
      <c r="P119" s="61">
        <v>807</v>
      </c>
      <c r="Q119" s="6">
        <f t="shared" si="3"/>
        <v>-0.55798004987531169</v>
      </c>
      <c r="R119" s="3"/>
      <c r="S119" s="3"/>
      <c r="T119" s="3"/>
    </row>
    <row r="120" spans="1:20" x14ac:dyDescent="0.35">
      <c r="A120" s="9"/>
      <c r="B120" s="59">
        <v>2020</v>
      </c>
      <c r="C120" s="60" t="s">
        <v>16</v>
      </c>
      <c r="D120" s="60" t="s">
        <v>31</v>
      </c>
      <c r="E120" s="60" t="s">
        <v>245</v>
      </c>
      <c r="F120" s="60" t="s">
        <v>27</v>
      </c>
      <c r="G120" s="61">
        <v>35</v>
      </c>
      <c r="H120" s="60" t="s">
        <v>246</v>
      </c>
      <c r="I120" s="61">
        <v>2838</v>
      </c>
      <c r="J120" s="61">
        <v>582</v>
      </c>
      <c r="K120" s="61">
        <v>2256</v>
      </c>
      <c r="L120" s="215">
        <f>IF(Table1[[#This Row],[Gross Profit]]&lt;&gt;0,Table1[[#This Row],[Gross Profit]]/Table1[[#This Row],[Revenue]],"")</f>
        <v>0.79492600422832982</v>
      </c>
      <c r="M120" s="61">
        <v>2848</v>
      </c>
      <c r="N120" s="61">
        <v>-592</v>
      </c>
      <c r="O120" s="61">
        <v>-449</v>
      </c>
      <c r="P120" s="61">
        <v>712</v>
      </c>
      <c r="Q120" s="6">
        <f t="shared" si="3"/>
        <v>-0.15821000704721636</v>
      </c>
      <c r="R120" s="3"/>
      <c r="S120" s="3"/>
      <c r="T120" s="3"/>
    </row>
    <row r="121" spans="1:20" x14ac:dyDescent="0.35">
      <c r="A121" s="3"/>
      <c r="B121" s="59">
        <v>2020</v>
      </c>
      <c r="C121" s="60" t="s">
        <v>16</v>
      </c>
      <c r="D121" s="60" t="s">
        <v>32</v>
      </c>
      <c r="E121" s="60" t="s">
        <v>247</v>
      </c>
      <c r="F121" s="60" t="s">
        <v>27</v>
      </c>
      <c r="G121" s="61">
        <v>35</v>
      </c>
      <c r="H121" s="60" t="s">
        <v>248</v>
      </c>
      <c r="I121" s="61">
        <v>2737</v>
      </c>
      <c r="J121" s="61">
        <v>350</v>
      </c>
      <c r="K121" s="61">
        <v>2387</v>
      </c>
      <c r="L121" s="215">
        <f>IF(Table1[[#This Row],[Gross Profit]]&lt;&gt;0,Table1[[#This Row],[Gross Profit]]/Table1[[#This Row],[Revenue]],"")</f>
        <v>0.87212276214833762</v>
      </c>
      <c r="M121" s="61">
        <v>2001</v>
      </c>
      <c r="N121" s="61">
        <v>386</v>
      </c>
      <c r="O121" s="61">
        <v>242</v>
      </c>
      <c r="P121" s="61">
        <v>1740</v>
      </c>
      <c r="Q121" s="6">
        <f t="shared" si="3"/>
        <v>8.8417975886006583E-2</v>
      </c>
      <c r="R121" s="3"/>
      <c r="S121" s="18">
        <f>MIN(O100:O181)</f>
        <v>-2659</v>
      </c>
      <c r="T121" s="3"/>
    </row>
    <row r="122" spans="1:20" x14ac:dyDescent="0.35">
      <c r="A122" s="9"/>
      <c r="B122" s="59">
        <v>2020</v>
      </c>
      <c r="C122" s="60" t="s">
        <v>16</v>
      </c>
      <c r="D122" s="60" t="s">
        <v>46</v>
      </c>
      <c r="E122" s="60" t="s">
        <v>249</v>
      </c>
      <c r="F122" s="60" t="s">
        <v>27</v>
      </c>
      <c r="G122" s="61">
        <v>35</v>
      </c>
      <c r="H122" s="60" t="s">
        <v>250</v>
      </c>
      <c r="I122" s="61">
        <v>1894</v>
      </c>
      <c r="J122" s="61">
        <v>897</v>
      </c>
      <c r="K122" s="61">
        <v>997</v>
      </c>
      <c r="L122" s="215">
        <f>IF(Table1[[#This Row],[Gross Profit]]&lt;&gt;0,Table1[[#This Row],[Gross Profit]]/Table1[[#This Row],[Revenue]],"")</f>
        <v>0.52639915522703273</v>
      </c>
      <c r="M122" s="61">
        <v>2092</v>
      </c>
      <c r="N122" s="61">
        <v>-1095</v>
      </c>
      <c r="O122" s="61">
        <v>-809</v>
      </c>
      <c r="P122" s="61">
        <v>909</v>
      </c>
      <c r="Q122" s="6">
        <f t="shared" si="3"/>
        <v>-0.42713833157338965</v>
      </c>
      <c r="R122" s="3"/>
      <c r="S122" s="3"/>
      <c r="T122" s="3"/>
    </row>
    <row r="123" spans="1:20" x14ac:dyDescent="0.35">
      <c r="A123" s="9"/>
      <c r="B123" s="59">
        <v>2020</v>
      </c>
      <c r="C123" s="60" t="s">
        <v>16</v>
      </c>
      <c r="D123" s="60" t="s">
        <v>65</v>
      </c>
      <c r="E123" s="60" t="s">
        <v>251</v>
      </c>
      <c r="F123" s="60" t="s">
        <v>27</v>
      </c>
      <c r="G123" s="61">
        <v>35</v>
      </c>
      <c r="H123" s="60" t="s">
        <v>252</v>
      </c>
      <c r="I123" s="61">
        <v>4103</v>
      </c>
      <c r="J123" s="61">
        <v>423</v>
      </c>
      <c r="K123" s="61">
        <v>3680</v>
      </c>
      <c r="L123" s="215">
        <f>IF(Table1[[#This Row],[Gross Profit]]&lt;&gt;0,Table1[[#This Row],[Gross Profit]]/Table1[[#This Row],[Revenue]],"")</f>
        <v>0.89690470387521326</v>
      </c>
      <c r="M123" s="61">
        <v>3394</v>
      </c>
      <c r="N123" s="61">
        <v>286</v>
      </c>
      <c r="O123" s="61">
        <v>162</v>
      </c>
      <c r="P123" s="61">
        <v>1900</v>
      </c>
      <c r="Q123" s="6">
        <f t="shared" si="3"/>
        <v>3.9483304898854495E-2</v>
      </c>
      <c r="R123" s="3"/>
      <c r="S123" s="3"/>
      <c r="T123" s="3"/>
    </row>
    <row r="124" spans="1:20" x14ac:dyDescent="0.35">
      <c r="A124" s="3"/>
      <c r="B124" s="59">
        <v>2020</v>
      </c>
      <c r="C124" s="60" t="s">
        <v>16</v>
      </c>
      <c r="D124" s="60" t="s">
        <v>79</v>
      </c>
      <c r="E124" s="60" t="s">
        <v>253</v>
      </c>
      <c r="F124" s="60" t="s">
        <v>49</v>
      </c>
      <c r="G124" s="61">
        <v>75</v>
      </c>
      <c r="H124" s="60" t="s">
        <v>254</v>
      </c>
      <c r="I124" s="61">
        <v>3208</v>
      </c>
      <c r="J124" s="61">
        <v>1936</v>
      </c>
      <c r="K124" s="61">
        <v>1676</v>
      </c>
      <c r="L124" s="215">
        <f>IF(Table1[[#This Row],[Gross Profit]]&lt;&gt;0,Table1[[#This Row],[Gross Profit]]/Table1[[#This Row],[Revenue]],"")</f>
        <v>0.52244389027431426</v>
      </c>
      <c r="M124" s="61">
        <v>3303</v>
      </c>
      <c r="N124" s="61">
        <v>-1627</v>
      </c>
      <c r="O124" s="61">
        <v>-1198</v>
      </c>
      <c r="P124" s="61">
        <v>515</v>
      </c>
      <c r="Q124" s="6">
        <f t="shared" si="3"/>
        <v>-0.37344139650872821</v>
      </c>
      <c r="R124" s="3"/>
      <c r="S124" s="3"/>
      <c r="T124" s="3"/>
    </row>
    <row r="125" spans="1:20" x14ac:dyDescent="0.35">
      <c r="A125" s="9"/>
      <c r="B125" s="62">
        <v>2020</v>
      </c>
      <c r="C125" s="63" t="s">
        <v>36</v>
      </c>
      <c r="D125" s="63" t="s">
        <v>17</v>
      </c>
      <c r="E125" s="63" t="s">
        <v>255</v>
      </c>
      <c r="F125" s="63" t="s">
        <v>58</v>
      </c>
      <c r="G125" s="64">
        <v>7</v>
      </c>
      <c r="H125" s="63" t="s">
        <v>28</v>
      </c>
      <c r="I125" s="64">
        <v>3436</v>
      </c>
      <c r="J125" s="64">
        <v>2533</v>
      </c>
      <c r="K125" s="64">
        <v>904</v>
      </c>
      <c r="L125" s="216">
        <f>IF(Table1[[#This Row],[Gross Profit]]&lt;&gt;0,Table1[[#This Row],[Gross Profit]]/Table1[[#This Row],[Revenue]],"")</f>
        <v>0.26309662398137368</v>
      </c>
      <c r="M125" s="64">
        <v>2740</v>
      </c>
      <c r="N125" s="64">
        <v>-1836</v>
      </c>
      <c r="O125" s="64">
        <v>-1430</v>
      </c>
      <c r="P125" s="64">
        <v>-27</v>
      </c>
      <c r="Q125" s="6">
        <f t="shared" si="3"/>
        <v>-0.41618160651920838</v>
      </c>
      <c r="R125" s="3"/>
      <c r="S125" s="3"/>
      <c r="T125" s="3"/>
    </row>
    <row r="126" spans="1:20" x14ac:dyDescent="0.35">
      <c r="A126" s="9"/>
      <c r="B126" s="65">
        <v>2020</v>
      </c>
      <c r="C126" s="66" t="s">
        <v>43</v>
      </c>
      <c r="D126" s="66" t="s">
        <v>17</v>
      </c>
      <c r="E126" s="66" t="s">
        <v>256</v>
      </c>
      <c r="F126" s="66" t="s">
        <v>58</v>
      </c>
      <c r="G126" s="67"/>
      <c r="H126" s="66" t="s">
        <v>257</v>
      </c>
      <c r="I126" s="67">
        <v>2570</v>
      </c>
      <c r="J126" s="67">
        <v>1260</v>
      </c>
      <c r="K126" s="67">
        <v>1310</v>
      </c>
      <c r="L126" s="217">
        <f>IF(Table1[[#This Row],[Gross Profit]]&lt;&gt;0,Table1[[#This Row],[Gross Profit]]/Table1[[#This Row],[Revenue]],"")</f>
        <v>0.50972762645914393</v>
      </c>
      <c r="M126" s="67">
        <v>1345</v>
      </c>
      <c r="N126" s="67">
        <v>-35</v>
      </c>
      <c r="O126" s="67">
        <v>-10</v>
      </c>
      <c r="P126" s="67">
        <v>1052</v>
      </c>
      <c r="Q126" s="6">
        <f t="shared" si="3"/>
        <v>-3.8910505836575876E-3</v>
      </c>
      <c r="R126" s="3"/>
      <c r="S126" s="3"/>
      <c r="T126" s="3"/>
    </row>
    <row r="127" spans="1:20" x14ac:dyDescent="0.35">
      <c r="A127" s="3"/>
      <c r="B127" s="65">
        <v>2020</v>
      </c>
      <c r="C127" s="66" t="s">
        <v>43</v>
      </c>
      <c r="D127" s="66" t="s">
        <v>21</v>
      </c>
      <c r="E127" s="66" t="s">
        <v>258</v>
      </c>
      <c r="F127" s="66" t="s">
        <v>58</v>
      </c>
      <c r="G127" s="67"/>
      <c r="H127" s="66" t="s">
        <v>259</v>
      </c>
      <c r="I127" s="67">
        <v>4872</v>
      </c>
      <c r="J127" s="67">
        <v>2584</v>
      </c>
      <c r="K127" s="67">
        <v>2288</v>
      </c>
      <c r="L127" s="217">
        <f>IF(Table1[[#This Row],[Gross Profit]]&lt;&gt;0,Table1[[#This Row],[Gross Profit]]/Table1[[#This Row],[Revenue]],"")</f>
        <v>0.46962233169129719</v>
      </c>
      <c r="M127" s="67">
        <v>2013</v>
      </c>
      <c r="N127" s="67">
        <v>275</v>
      </c>
      <c r="O127" s="67">
        <v>81</v>
      </c>
      <c r="P127" s="67">
        <v>60</v>
      </c>
      <c r="Q127" s="6">
        <f t="shared" si="3"/>
        <v>1.6625615763546799E-2</v>
      </c>
      <c r="R127" s="3"/>
      <c r="S127" s="3"/>
      <c r="T127" s="3"/>
    </row>
    <row r="128" spans="1:20" x14ac:dyDescent="0.35">
      <c r="A128" s="9"/>
      <c r="B128" s="65">
        <v>2020</v>
      </c>
      <c r="C128" s="66" t="s">
        <v>43</v>
      </c>
      <c r="D128" s="66" t="s">
        <v>25</v>
      </c>
      <c r="E128" s="66" t="s">
        <v>260</v>
      </c>
      <c r="F128" s="66" t="s">
        <v>58</v>
      </c>
      <c r="G128" s="67"/>
      <c r="H128" s="66" t="s">
        <v>261</v>
      </c>
      <c r="I128" s="67">
        <v>2082</v>
      </c>
      <c r="J128" s="67">
        <v>1126</v>
      </c>
      <c r="K128" s="67">
        <v>976</v>
      </c>
      <c r="L128" s="217">
        <f>IF(Table1[[#This Row],[Gross Profit]]&lt;&gt;0,Table1[[#This Row],[Gross Profit]]/Table1[[#This Row],[Revenue]],"")</f>
        <v>0.4687800192122959</v>
      </c>
      <c r="M128" s="67">
        <v>2603</v>
      </c>
      <c r="N128" s="67">
        <v>-1627</v>
      </c>
      <c r="O128" s="67">
        <v>-1246</v>
      </c>
      <c r="P128" s="67">
        <v>-484</v>
      </c>
      <c r="Q128" s="6">
        <f t="shared" si="3"/>
        <v>-0.59846301633045151</v>
      </c>
      <c r="R128" s="3"/>
      <c r="S128" s="3"/>
      <c r="T128" s="3"/>
    </row>
    <row r="129" spans="1:20" x14ac:dyDescent="0.35">
      <c r="A129" s="9"/>
      <c r="B129" s="65">
        <v>2020</v>
      </c>
      <c r="C129" s="66" t="s">
        <v>43</v>
      </c>
      <c r="D129" s="66" t="s">
        <v>29</v>
      </c>
      <c r="E129" s="66" t="s">
        <v>262</v>
      </c>
      <c r="F129" s="66" t="s">
        <v>263</v>
      </c>
      <c r="G129" s="67">
        <v>35</v>
      </c>
      <c r="H129" s="66" t="s">
        <v>264</v>
      </c>
      <c r="I129" s="67">
        <v>4385</v>
      </c>
      <c r="J129" s="67">
        <v>807</v>
      </c>
      <c r="K129" s="67">
        <v>3578</v>
      </c>
      <c r="L129" s="217">
        <f>IF(Table1[[#This Row],[Gross Profit]]&lt;&gt;0,Table1[[#This Row],[Gross Profit]]/Table1[[#This Row],[Revenue]],"")</f>
        <v>0.81596351197263395</v>
      </c>
      <c r="M129" s="67">
        <v>3251</v>
      </c>
      <c r="N129" s="67">
        <v>328</v>
      </c>
      <c r="O129" s="67">
        <v>179</v>
      </c>
      <c r="P129" s="67">
        <v>295</v>
      </c>
      <c r="Q129" s="6">
        <f t="shared" si="3"/>
        <v>4.0820980615735462E-2</v>
      </c>
      <c r="R129" s="3"/>
      <c r="S129" s="3"/>
      <c r="T129" s="3"/>
    </row>
    <row r="130" spans="1:20" x14ac:dyDescent="0.35">
      <c r="A130" s="3"/>
      <c r="B130" s="65">
        <v>2020</v>
      </c>
      <c r="C130" s="66" t="s">
        <v>43</v>
      </c>
      <c r="D130" s="66" t="s">
        <v>31</v>
      </c>
      <c r="E130" s="66" t="s">
        <v>265</v>
      </c>
      <c r="F130" s="66" t="s">
        <v>263</v>
      </c>
      <c r="G130" s="67">
        <v>35</v>
      </c>
      <c r="H130" s="66" t="s">
        <v>266</v>
      </c>
      <c r="I130" s="67">
        <v>4140</v>
      </c>
      <c r="J130" s="67">
        <v>198</v>
      </c>
      <c r="K130" s="67">
        <v>3347</v>
      </c>
      <c r="L130" s="217">
        <f>IF(Table1[[#This Row],[Gross Profit]]&lt;&gt;0,Table1[[#This Row],[Gross Profit]]/Table1[[#This Row],[Revenue]],"")</f>
        <v>0.80845410628019321</v>
      </c>
      <c r="M130" s="67">
        <v>2342</v>
      </c>
      <c r="N130" s="67">
        <v>1005</v>
      </c>
      <c r="O130" s="67">
        <v>648</v>
      </c>
      <c r="P130" s="67">
        <v>1058</v>
      </c>
      <c r="Q130" s="6">
        <f t="shared" si="3"/>
        <v>0.15652173913043479</v>
      </c>
      <c r="R130" s="3"/>
      <c r="S130" s="3"/>
      <c r="T130" s="3"/>
    </row>
    <row r="131" spans="1:20" x14ac:dyDescent="0.35">
      <c r="A131" s="9"/>
      <c r="B131" s="65">
        <v>2020</v>
      </c>
      <c r="C131" s="66" t="s">
        <v>43</v>
      </c>
      <c r="D131" s="66" t="s">
        <v>32</v>
      </c>
      <c r="E131" s="66" t="s">
        <v>267</v>
      </c>
      <c r="F131" s="66" t="s">
        <v>263</v>
      </c>
      <c r="G131" s="67">
        <v>35</v>
      </c>
      <c r="H131" s="66" t="s">
        <v>268</v>
      </c>
      <c r="I131" s="67">
        <v>7189</v>
      </c>
      <c r="J131" s="67">
        <v>3909</v>
      </c>
      <c r="K131" s="67">
        <v>3280</v>
      </c>
      <c r="L131" s="217">
        <f>IF(Table1[[#This Row],[Gross Profit]]&lt;&gt;0,Table1[[#This Row],[Gross Profit]]/Table1[[#This Row],[Revenue]],"")</f>
        <v>0.45625260815134233</v>
      </c>
      <c r="M131" s="67">
        <v>4538</v>
      </c>
      <c r="N131" s="67">
        <v>-1258</v>
      </c>
      <c r="O131" s="67">
        <v>-988</v>
      </c>
      <c r="P131" s="67">
        <v>289</v>
      </c>
      <c r="Q131" s="6">
        <f t="shared" ref="Q131:Q162" si="4">IFERROR(O131/I131,0)</f>
        <v>-0.13743218806509946</v>
      </c>
      <c r="R131" s="3"/>
      <c r="S131" s="3"/>
      <c r="T131" s="3"/>
    </row>
    <row r="132" spans="1:20" x14ac:dyDescent="0.35">
      <c r="A132" s="9"/>
      <c r="B132" s="65">
        <v>2020</v>
      </c>
      <c r="C132" s="66" t="s">
        <v>43</v>
      </c>
      <c r="D132" s="66" t="s">
        <v>46</v>
      </c>
      <c r="E132" s="66" t="s">
        <v>269</v>
      </c>
      <c r="F132" s="66" t="s">
        <v>263</v>
      </c>
      <c r="G132" s="67">
        <v>35</v>
      </c>
      <c r="H132" s="66" t="s">
        <v>270</v>
      </c>
      <c r="I132" s="67">
        <v>4126</v>
      </c>
      <c r="J132" s="67">
        <v>874</v>
      </c>
      <c r="K132" s="67">
        <v>3159</v>
      </c>
      <c r="L132" s="217">
        <f>IF(Table1[[#This Row],[Gross Profit]]&lt;&gt;0,Table1[[#This Row],[Gross Profit]]/Table1[[#This Row],[Revenue]],"")</f>
        <v>0.76563257392147355</v>
      </c>
      <c r="M132" s="67">
        <v>2043</v>
      </c>
      <c r="N132" s="67">
        <v>1116</v>
      </c>
      <c r="O132" s="67">
        <v>714</v>
      </c>
      <c r="P132" s="67">
        <v>966</v>
      </c>
      <c r="Q132" s="6">
        <f t="shared" si="4"/>
        <v>0.17304895782840524</v>
      </c>
      <c r="R132" s="3"/>
      <c r="S132" s="3"/>
      <c r="T132" s="3"/>
    </row>
    <row r="133" spans="1:20" x14ac:dyDescent="0.35">
      <c r="A133" s="3"/>
      <c r="B133" s="65">
        <v>2020</v>
      </c>
      <c r="C133" s="66" t="s">
        <v>43</v>
      </c>
      <c r="D133" s="66" t="s">
        <v>65</v>
      </c>
      <c r="E133" s="66" t="s">
        <v>271</v>
      </c>
      <c r="F133" s="66" t="s">
        <v>263</v>
      </c>
      <c r="G133" s="67">
        <v>35</v>
      </c>
      <c r="H133" s="66" t="s">
        <v>272</v>
      </c>
      <c r="I133" s="67">
        <v>3981</v>
      </c>
      <c r="J133" s="67">
        <v>1609</v>
      </c>
      <c r="K133" s="67">
        <v>2372</v>
      </c>
      <c r="L133" s="217">
        <f>IF(Table1[[#This Row],[Gross Profit]]&lt;&gt;0,Table1[[#This Row],[Gross Profit]]/Table1[[#This Row],[Revenue]],"")</f>
        <v>0.595830193418739</v>
      </c>
      <c r="M133" s="67">
        <v>2343</v>
      </c>
      <c r="N133" s="67">
        <v>29</v>
      </c>
      <c r="O133" s="67">
        <v>-29</v>
      </c>
      <c r="P133" s="67">
        <v>-325</v>
      </c>
      <c r="Q133" s="6">
        <f t="shared" si="4"/>
        <v>-7.2846018588294398E-3</v>
      </c>
      <c r="R133" s="3"/>
      <c r="S133" s="3"/>
      <c r="T133" s="3"/>
    </row>
    <row r="134" spans="1:20" x14ac:dyDescent="0.35">
      <c r="A134" s="9"/>
      <c r="B134" s="68">
        <v>2021</v>
      </c>
      <c r="C134" s="69" t="s">
        <v>16</v>
      </c>
      <c r="D134" s="69" t="s">
        <v>17</v>
      </c>
      <c r="E134" s="69" t="s">
        <v>273</v>
      </c>
      <c r="F134" s="69" t="s">
        <v>58</v>
      </c>
      <c r="G134" s="70"/>
      <c r="H134" s="69" t="s">
        <v>274</v>
      </c>
      <c r="I134" s="70">
        <v>2602</v>
      </c>
      <c r="J134" s="70">
        <v>868</v>
      </c>
      <c r="K134" s="70">
        <v>1734</v>
      </c>
      <c r="L134" s="218">
        <f>IF(Table1[[#This Row],[Gross Profit]]&lt;&gt;0,Table1[[#This Row],[Gross Profit]]/Table1[[#This Row],[Revenue]],"")</f>
        <v>0.66641045349730976</v>
      </c>
      <c r="M134" s="70">
        <v>1179</v>
      </c>
      <c r="N134" s="70">
        <v>555</v>
      </c>
      <c r="O134" s="70">
        <v>293</v>
      </c>
      <c r="P134" s="70">
        <v>396</v>
      </c>
      <c r="Q134" s="6">
        <f t="shared" si="4"/>
        <v>0.11260568793235973</v>
      </c>
      <c r="R134" s="3"/>
      <c r="S134" s="3"/>
      <c r="T134" s="3"/>
    </row>
    <row r="135" spans="1:20" x14ac:dyDescent="0.35">
      <c r="A135" s="9"/>
      <c r="B135" s="68">
        <v>2021</v>
      </c>
      <c r="C135" s="69" t="s">
        <v>16</v>
      </c>
      <c r="D135" s="69" t="s">
        <v>21</v>
      </c>
      <c r="E135" s="69" t="s">
        <v>275</v>
      </c>
      <c r="F135" s="69" t="s">
        <v>58</v>
      </c>
      <c r="G135" s="70"/>
      <c r="H135" s="69" t="s">
        <v>276</v>
      </c>
      <c r="I135" s="70">
        <v>9644</v>
      </c>
      <c r="J135" s="70">
        <v>4864</v>
      </c>
      <c r="K135" s="70">
        <v>4780</v>
      </c>
      <c r="L135" s="218">
        <f>IF(Table1[[#This Row],[Gross Profit]]&lt;&gt;0,Table1[[#This Row],[Gross Profit]]/Table1[[#This Row],[Revenue]],"")</f>
        <v>0.49564496059726254</v>
      </c>
      <c r="M135" s="70">
        <v>1717</v>
      </c>
      <c r="N135" s="70">
        <v>3063</v>
      </c>
      <c r="O135" s="70">
        <v>2105</v>
      </c>
      <c r="P135" s="70">
        <v>2535</v>
      </c>
      <c r="Q135" s="6">
        <f t="shared" si="4"/>
        <v>0.21827042720862713</v>
      </c>
      <c r="R135" s="3"/>
      <c r="S135" s="3"/>
      <c r="T135" s="3"/>
    </row>
    <row r="136" spans="1:20" x14ac:dyDescent="0.35">
      <c r="A136" s="3"/>
      <c r="B136" s="68">
        <v>2021</v>
      </c>
      <c r="C136" s="69" t="s">
        <v>16</v>
      </c>
      <c r="D136" s="69" t="s">
        <v>25</v>
      </c>
      <c r="E136" s="69" t="s">
        <v>277</v>
      </c>
      <c r="F136" s="69" t="s">
        <v>58</v>
      </c>
      <c r="G136" s="70"/>
      <c r="H136" s="69" t="s">
        <v>278</v>
      </c>
      <c r="I136" s="70">
        <v>476</v>
      </c>
      <c r="J136" s="70">
        <v>0</v>
      </c>
      <c r="K136" s="70">
        <f>SUM(I136:J136)</f>
        <v>476</v>
      </c>
      <c r="L136" s="218">
        <f>IF(Table1[[#This Row],[Gross Profit]]&lt;&gt;0,Table1[[#This Row],[Gross Profit]]/Table1[[#This Row],[Revenue]],"")</f>
        <v>1</v>
      </c>
      <c r="M136" s="70">
        <v>1301</v>
      </c>
      <c r="N136" s="70">
        <v>-825</v>
      </c>
      <c r="O136" s="70">
        <v>432</v>
      </c>
      <c r="P136" s="70">
        <v>815</v>
      </c>
      <c r="Q136" s="6">
        <f t="shared" si="4"/>
        <v>0.90756302521008403</v>
      </c>
      <c r="R136" s="3"/>
      <c r="S136" s="3"/>
      <c r="T136" s="3"/>
    </row>
    <row r="137" spans="1:20" x14ac:dyDescent="0.35">
      <c r="A137" s="9"/>
      <c r="B137" s="68">
        <v>2021</v>
      </c>
      <c r="C137" s="69" t="s">
        <v>16</v>
      </c>
      <c r="D137" s="69" t="s">
        <v>29</v>
      </c>
      <c r="E137" s="69" t="s">
        <v>279</v>
      </c>
      <c r="F137" s="69" t="s">
        <v>263</v>
      </c>
      <c r="G137" s="70">
        <v>35</v>
      </c>
      <c r="H137" s="69" t="s">
        <v>280</v>
      </c>
      <c r="I137" s="70">
        <v>2319</v>
      </c>
      <c r="J137" s="70">
        <v>364</v>
      </c>
      <c r="K137" s="70">
        <v>1954</v>
      </c>
      <c r="L137" s="218">
        <f>IF(Table1[[#This Row],[Gross Profit]]&lt;&gt;0,Table1[[#This Row],[Gross Profit]]/Table1[[#This Row],[Revenue]],"")</f>
        <v>0.84260457093574814</v>
      </c>
      <c r="M137" s="70">
        <v>1872</v>
      </c>
      <c r="N137" s="70">
        <v>83</v>
      </c>
      <c r="O137" s="70">
        <v>1044</v>
      </c>
      <c r="P137" s="70">
        <v>1275</v>
      </c>
      <c r="Q137" s="6">
        <f t="shared" si="4"/>
        <v>0.45019404915912031</v>
      </c>
      <c r="R137" s="3"/>
      <c r="S137" s="3"/>
      <c r="T137" s="3"/>
    </row>
    <row r="138" spans="1:20" x14ac:dyDescent="0.35">
      <c r="A138" s="9"/>
      <c r="B138" s="68">
        <v>2021</v>
      </c>
      <c r="C138" s="69" t="s">
        <v>16</v>
      </c>
      <c r="D138" s="69" t="s">
        <v>31</v>
      </c>
      <c r="E138" s="69" t="s">
        <v>281</v>
      </c>
      <c r="F138" s="69" t="s">
        <v>263</v>
      </c>
      <c r="G138" s="70">
        <v>35</v>
      </c>
      <c r="H138" s="69" t="s">
        <v>282</v>
      </c>
      <c r="I138" s="70">
        <v>4695</v>
      </c>
      <c r="J138" s="70">
        <v>1784</v>
      </c>
      <c r="K138" s="70">
        <v>2912</v>
      </c>
      <c r="L138" s="218">
        <f>IF(Table1[[#This Row],[Gross Profit]]&lt;&gt;0,Table1[[#This Row],[Gross Profit]]/Table1[[#This Row],[Revenue]],"")</f>
        <v>0.62023429179978695</v>
      </c>
      <c r="M138" s="70">
        <v>2470</v>
      </c>
      <c r="N138" s="70">
        <v>442</v>
      </c>
      <c r="O138" s="70">
        <v>184</v>
      </c>
      <c r="P138" s="70">
        <v>192</v>
      </c>
      <c r="Q138" s="6">
        <f t="shared" si="4"/>
        <v>3.9190628328008521E-2</v>
      </c>
      <c r="R138" s="3"/>
      <c r="S138" s="3"/>
      <c r="T138" s="3"/>
    </row>
    <row r="139" spans="1:20" x14ac:dyDescent="0.35">
      <c r="A139" s="3"/>
      <c r="B139" s="68">
        <v>2021</v>
      </c>
      <c r="C139" s="69" t="s">
        <v>16</v>
      </c>
      <c r="D139" s="69" t="s">
        <v>32</v>
      </c>
      <c r="E139" s="69" t="s">
        <v>283</v>
      </c>
      <c r="F139" s="69" t="s">
        <v>263</v>
      </c>
      <c r="G139" s="70">
        <v>35</v>
      </c>
      <c r="H139" s="69" t="s">
        <v>284</v>
      </c>
      <c r="I139" s="70">
        <v>2814</v>
      </c>
      <c r="J139" s="70">
        <v>1335</v>
      </c>
      <c r="K139" s="70">
        <v>1479</v>
      </c>
      <c r="L139" s="218">
        <f>IF(Table1[[#This Row],[Gross Profit]]&lt;&gt;0,Table1[[#This Row],[Gross Profit]]/Table1[[#This Row],[Revenue]],"")</f>
        <v>0.52558635394456288</v>
      </c>
      <c r="M139" s="70">
        <v>2102</v>
      </c>
      <c r="N139" s="70">
        <v>-624</v>
      </c>
      <c r="O139" s="70">
        <v>-537</v>
      </c>
      <c r="P139" s="70">
        <v>613</v>
      </c>
      <c r="Q139" s="6">
        <f t="shared" si="4"/>
        <v>-0.1908315565031983</v>
      </c>
      <c r="R139" s="3"/>
      <c r="S139" s="3"/>
      <c r="T139" s="3"/>
    </row>
    <row r="140" spans="1:20" x14ac:dyDescent="0.35">
      <c r="A140" s="9"/>
      <c r="B140" s="68">
        <v>2021</v>
      </c>
      <c r="C140" s="69" t="s">
        <v>16</v>
      </c>
      <c r="D140" s="69" t="s">
        <v>46</v>
      </c>
      <c r="E140" s="69" t="s">
        <v>285</v>
      </c>
      <c r="F140" s="69" t="s">
        <v>263</v>
      </c>
      <c r="G140" s="70">
        <v>35</v>
      </c>
      <c r="H140" s="69" t="s">
        <v>286</v>
      </c>
      <c r="I140" s="70">
        <v>2712</v>
      </c>
      <c r="J140" s="70">
        <v>1295</v>
      </c>
      <c r="K140" s="70">
        <f>I140-J140</f>
        <v>1417</v>
      </c>
      <c r="L140" s="218">
        <f>IF(Table1[[#This Row],[Gross Profit]]&lt;&gt;0,Table1[[#This Row],[Gross Profit]]/Table1[[#This Row],[Revenue]],"")</f>
        <v>0.52249262536873153</v>
      </c>
      <c r="M140" s="70">
        <v>1786</v>
      </c>
      <c r="N140" s="70">
        <v>-369</v>
      </c>
      <c r="O140" s="70">
        <v>-404</v>
      </c>
      <c r="P140" s="70">
        <v>0</v>
      </c>
      <c r="Q140" s="6">
        <f t="shared" si="4"/>
        <v>-0.14896755162241887</v>
      </c>
      <c r="R140" s="3"/>
      <c r="S140" s="3"/>
      <c r="T140" s="3"/>
    </row>
    <row r="141" spans="1:20" x14ac:dyDescent="0.35">
      <c r="A141" s="9"/>
      <c r="B141" s="68">
        <v>2021</v>
      </c>
      <c r="C141" s="69" t="s">
        <v>16</v>
      </c>
      <c r="D141" s="69" t="s">
        <v>65</v>
      </c>
      <c r="E141" s="69" t="s">
        <v>287</v>
      </c>
      <c r="F141" s="69" t="s">
        <v>263</v>
      </c>
      <c r="G141" s="70">
        <v>35</v>
      </c>
      <c r="H141" s="69" t="s">
        <v>288</v>
      </c>
      <c r="I141" s="70">
        <v>4493</v>
      </c>
      <c r="J141" s="70">
        <v>145</v>
      </c>
      <c r="K141" s="70">
        <v>4348</v>
      </c>
      <c r="L141" s="218">
        <f>IF(Table1[[#This Row],[Gross Profit]]&lt;&gt;0,Table1[[#This Row],[Gross Profit]]/Table1[[#This Row],[Revenue]],"")</f>
        <v>0.96772757622969063</v>
      </c>
      <c r="M141" s="70">
        <v>2478</v>
      </c>
      <c r="N141" s="70">
        <v>1869</v>
      </c>
      <c r="O141" s="70">
        <v>1609</v>
      </c>
      <c r="P141" s="70">
        <v>2203</v>
      </c>
      <c r="Q141" s="6">
        <f t="shared" si="4"/>
        <v>0.35811261963053637</v>
      </c>
      <c r="R141" s="3"/>
      <c r="S141" s="3"/>
      <c r="T141" s="3"/>
    </row>
    <row r="142" spans="1:20" x14ac:dyDescent="0.35">
      <c r="A142" s="3"/>
      <c r="B142" s="111">
        <v>2021</v>
      </c>
      <c r="C142" s="111" t="s">
        <v>36</v>
      </c>
      <c r="D142" s="111" t="s">
        <v>17</v>
      </c>
      <c r="E142" s="111" t="s">
        <v>289</v>
      </c>
      <c r="F142" s="111" t="s">
        <v>58</v>
      </c>
      <c r="G142" s="125">
        <v>35</v>
      </c>
      <c r="H142" s="111" t="s">
        <v>290</v>
      </c>
      <c r="I142" s="142">
        <v>2841</v>
      </c>
      <c r="J142" s="142">
        <v>1965</v>
      </c>
      <c r="K142" s="142">
        <v>877</v>
      </c>
      <c r="L142" s="219">
        <f>IF(Table1[[#This Row],[Gross Profit]]&lt;&gt;0,Table1[[#This Row],[Gross Profit]]/Table1[[#This Row],[Revenue]],"")</f>
        <v>0.30869412178810279</v>
      </c>
      <c r="M142" s="142">
        <v>1701</v>
      </c>
      <c r="N142" s="142">
        <v>-825</v>
      </c>
      <c r="O142" s="142">
        <v>-697</v>
      </c>
      <c r="P142" s="142">
        <v>854</v>
      </c>
      <c r="Q142" s="6">
        <f t="shared" si="4"/>
        <v>-0.24533614924322422</v>
      </c>
      <c r="R142" s="3"/>
      <c r="S142" s="3"/>
      <c r="T142" s="3"/>
    </row>
    <row r="143" spans="1:20" x14ac:dyDescent="0.35">
      <c r="A143" s="9"/>
      <c r="B143" s="111">
        <v>2021</v>
      </c>
      <c r="C143" s="111" t="s">
        <v>36</v>
      </c>
      <c r="D143" s="111" t="s">
        <v>21</v>
      </c>
      <c r="E143" s="111" t="s">
        <v>291</v>
      </c>
      <c r="F143" s="111" t="s">
        <v>58</v>
      </c>
      <c r="G143" s="125">
        <v>35</v>
      </c>
      <c r="H143" s="133" t="s">
        <v>204</v>
      </c>
      <c r="I143" s="142">
        <v>657</v>
      </c>
      <c r="J143" s="142">
        <v>377</v>
      </c>
      <c r="K143" s="142">
        <v>279</v>
      </c>
      <c r="L143" s="219">
        <f>IF(Table1[[#This Row],[Gross Profit]]&lt;&gt;0,Table1[[#This Row],[Gross Profit]]/Table1[[#This Row],[Revenue]],"")</f>
        <v>0.42465753424657532</v>
      </c>
      <c r="M143" s="142">
        <v>626</v>
      </c>
      <c r="N143" s="142">
        <v>-346</v>
      </c>
      <c r="O143" s="142">
        <v>-287</v>
      </c>
      <c r="P143" s="142">
        <v>100</v>
      </c>
      <c r="Q143" s="6">
        <f t="shared" si="4"/>
        <v>-0.43683409436834092</v>
      </c>
      <c r="R143" s="3"/>
      <c r="S143" s="3"/>
      <c r="T143" s="3"/>
    </row>
    <row r="144" spans="1:20" x14ac:dyDescent="0.35">
      <c r="A144" s="9"/>
      <c r="B144" s="111">
        <v>2021</v>
      </c>
      <c r="C144" s="111" t="s">
        <v>36</v>
      </c>
      <c r="D144" s="111" t="s">
        <v>25</v>
      </c>
      <c r="E144" s="111" t="s">
        <v>292</v>
      </c>
      <c r="F144" s="111" t="s">
        <v>58</v>
      </c>
      <c r="G144" s="125"/>
      <c r="H144" s="133" t="s">
        <v>293</v>
      </c>
      <c r="I144" s="142">
        <v>291</v>
      </c>
      <c r="J144" s="142">
        <v>0</v>
      </c>
      <c r="K144" s="142">
        <v>291</v>
      </c>
      <c r="L144" s="219">
        <f>IF(Table1[[#This Row],[Gross Profit]]&lt;&gt;0,Table1[[#This Row],[Gross Profit]]/Table1[[#This Row],[Revenue]],"")</f>
        <v>1</v>
      </c>
      <c r="M144" s="142">
        <v>1109</v>
      </c>
      <c r="N144" s="142">
        <v>-819</v>
      </c>
      <c r="O144" s="142">
        <v>-909</v>
      </c>
      <c r="P144" s="142">
        <v>419</v>
      </c>
      <c r="Q144" s="6">
        <f t="shared" si="4"/>
        <v>-3.1237113402061856</v>
      </c>
      <c r="R144" s="3"/>
      <c r="S144" s="3"/>
      <c r="T144" s="3"/>
    </row>
    <row r="145" spans="1:20" x14ac:dyDescent="0.35">
      <c r="A145" s="3"/>
      <c r="B145" s="111">
        <v>2021</v>
      </c>
      <c r="C145" s="111" t="s">
        <v>36</v>
      </c>
      <c r="D145" s="111" t="s">
        <v>29</v>
      </c>
      <c r="E145" s="111" t="s">
        <v>294</v>
      </c>
      <c r="F145" s="111" t="s">
        <v>263</v>
      </c>
      <c r="G145" s="125">
        <v>35</v>
      </c>
      <c r="H145" s="133" t="s">
        <v>295</v>
      </c>
      <c r="I145" s="142">
        <v>6697</v>
      </c>
      <c r="J145" s="142">
        <v>1914</v>
      </c>
      <c r="K145" s="142">
        <v>4783</v>
      </c>
      <c r="L145" s="219">
        <f>IF(Table1[[#This Row],[Gross Profit]]&lt;&gt;0,Table1[[#This Row],[Gross Profit]]/Table1[[#This Row],[Revenue]],"")</f>
        <v>0.71420038823353738</v>
      </c>
      <c r="M145" s="142">
        <v>3926</v>
      </c>
      <c r="N145" s="142">
        <v>857</v>
      </c>
      <c r="O145" s="142">
        <v>603</v>
      </c>
      <c r="P145" s="142">
        <v>746</v>
      </c>
      <c r="Q145" s="6">
        <f t="shared" si="4"/>
        <v>9.0040316559653583E-2</v>
      </c>
      <c r="R145" s="3"/>
      <c r="S145" s="3"/>
      <c r="T145" s="3"/>
    </row>
    <row r="146" spans="1:20" x14ac:dyDescent="0.35">
      <c r="A146" s="9"/>
      <c r="B146" s="111">
        <v>2021</v>
      </c>
      <c r="C146" s="111" t="s">
        <v>36</v>
      </c>
      <c r="D146" s="111" t="s">
        <v>31</v>
      </c>
      <c r="E146" s="111" t="s">
        <v>296</v>
      </c>
      <c r="F146" s="111" t="s">
        <v>263</v>
      </c>
      <c r="G146" s="125">
        <v>35</v>
      </c>
      <c r="H146" s="133" t="s">
        <v>297</v>
      </c>
      <c r="I146" s="142">
        <v>2151</v>
      </c>
      <c r="J146" s="142">
        <v>845</v>
      </c>
      <c r="K146" s="142">
        <v>1306</v>
      </c>
      <c r="L146" s="219">
        <f>IF(Table1[[#This Row],[Gross Profit]]&lt;&gt;0,Table1[[#This Row],[Gross Profit]]/Table1[[#This Row],[Revenue]],"")</f>
        <v>0.60715946071594606</v>
      </c>
      <c r="M146" s="142">
        <v>1768</v>
      </c>
      <c r="N146" s="142">
        <v>-462</v>
      </c>
      <c r="O146" s="142">
        <v>-419</v>
      </c>
      <c r="P146" s="142">
        <v>1002</v>
      </c>
      <c r="Q146" s="6">
        <f t="shared" si="4"/>
        <v>-0.19479311947931194</v>
      </c>
      <c r="R146" s="3"/>
      <c r="S146" s="3"/>
      <c r="T146" s="3"/>
    </row>
    <row r="147" spans="1:20" x14ac:dyDescent="0.35">
      <c r="A147" s="9"/>
      <c r="B147" s="111">
        <v>2021</v>
      </c>
      <c r="C147" s="111" t="s">
        <v>36</v>
      </c>
      <c r="D147" s="111" t="s">
        <v>32</v>
      </c>
      <c r="E147" s="111" t="s">
        <v>298</v>
      </c>
      <c r="F147" s="111" t="s">
        <v>263</v>
      </c>
      <c r="G147" s="125">
        <v>35</v>
      </c>
      <c r="H147" s="133" t="s">
        <v>299</v>
      </c>
      <c r="I147" s="142">
        <v>1446</v>
      </c>
      <c r="J147" s="142">
        <v>249</v>
      </c>
      <c r="K147" s="142">
        <v>1196</v>
      </c>
      <c r="L147" s="219">
        <f>IF(Table1[[#This Row],[Gross Profit]]&lt;&gt;0,Table1[[#This Row],[Gross Profit]]/Table1[[#This Row],[Revenue]],"")</f>
        <v>0.82710926694329179</v>
      </c>
      <c r="M147" s="142">
        <v>1894</v>
      </c>
      <c r="N147" s="142">
        <v>-697</v>
      </c>
      <c r="O147" s="142">
        <v>-435</v>
      </c>
      <c r="P147" s="142">
        <v>280</v>
      </c>
      <c r="Q147" s="6">
        <f t="shared" si="4"/>
        <v>-0.30082987551867219</v>
      </c>
      <c r="R147" s="3"/>
      <c r="S147" s="3"/>
      <c r="T147" s="3"/>
    </row>
    <row r="148" spans="1:20" x14ac:dyDescent="0.35">
      <c r="A148" s="3"/>
      <c r="B148" s="111">
        <v>2021</v>
      </c>
      <c r="C148" s="111" t="s">
        <v>36</v>
      </c>
      <c r="D148" s="111" t="s">
        <v>46</v>
      </c>
      <c r="E148" s="111" t="s">
        <v>300</v>
      </c>
      <c r="F148" s="111" t="s">
        <v>263</v>
      </c>
      <c r="G148" s="125">
        <v>35</v>
      </c>
      <c r="H148" s="133" t="s">
        <v>84</v>
      </c>
      <c r="I148" s="142">
        <v>5674</v>
      </c>
      <c r="J148" s="142">
        <v>362</v>
      </c>
      <c r="K148" s="142">
        <v>5288</v>
      </c>
      <c r="L148" s="219">
        <f>IF(Table1[[#This Row],[Gross Profit]]&lt;&gt;0,Table1[[#This Row],[Gross Profit]]/Table1[[#This Row],[Revenue]],"")</f>
        <v>0.93197039125837156</v>
      </c>
      <c r="M148" s="142">
        <v>5255</v>
      </c>
      <c r="N148" s="142">
        <v>33</v>
      </c>
      <c r="O148" s="142">
        <v>-20</v>
      </c>
      <c r="P148" s="142">
        <v>1574</v>
      </c>
      <c r="Q148" s="6">
        <f t="shared" si="4"/>
        <v>-3.5248501938667607E-3</v>
      </c>
      <c r="R148" s="3"/>
      <c r="S148" s="3"/>
      <c r="T148" s="3"/>
    </row>
    <row r="149" spans="1:20" x14ac:dyDescent="0.35">
      <c r="A149" s="9"/>
      <c r="B149" s="111">
        <v>2021</v>
      </c>
      <c r="C149" s="111" t="s">
        <v>36</v>
      </c>
      <c r="D149" s="111" t="s">
        <v>65</v>
      </c>
      <c r="E149" s="111" t="s">
        <v>301</v>
      </c>
      <c r="F149" s="111" t="s">
        <v>263</v>
      </c>
      <c r="G149" s="125">
        <v>35</v>
      </c>
      <c r="H149" s="133" t="s">
        <v>302</v>
      </c>
      <c r="I149" s="142">
        <v>7124</v>
      </c>
      <c r="J149" s="142">
        <v>2872</v>
      </c>
      <c r="K149" s="142">
        <v>4252</v>
      </c>
      <c r="L149" s="219">
        <f>IF(Table1[[#This Row],[Gross Profit]]&lt;&gt;0,Table1[[#This Row],[Gross Profit]]/Table1[[#This Row],[Revenue]],"")</f>
        <v>0.59685569904548008</v>
      </c>
      <c r="M149" s="142">
        <v>3172</v>
      </c>
      <c r="N149" s="142">
        <v>1079</v>
      </c>
      <c r="O149" s="142">
        <v>655</v>
      </c>
      <c r="P149" s="142">
        <v>935</v>
      </c>
      <c r="Q149" s="6">
        <f t="shared" si="4"/>
        <v>9.1942728804042667E-2</v>
      </c>
      <c r="R149" s="3"/>
      <c r="S149" s="3"/>
      <c r="T149" s="3"/>
    </row>
    <row r="150" spans="1:20" x14ac:dyDescent="0.35">
      <c r="A150" s="9"/>
      <c r="B150" s="110">
        <v>2021</v>
      </c>
      <c r="C150" s="110" t="s">
        <v>43</v>
      </c>
      <c r="D150" s="118" t="s">
        <v>17</v>
      </c>
      <c r="E150" s="71" t="s">
        <v>303</v>
      </c>
      <c r="F150" s="71" t="s">
        <v>304</v>
      </c>
      <c r="G150" s="86">
        <v>25</v>
      </c>
      <c r="H150" s="132" t="s">
        <v>305</v>
      </c>
      <c r="I150" s="140">
        <v>2153.37</v>
      </c>
      <c r="J150" s="72">
        <v>285</v>
      </c>
      <c r="K150" s="149">
        <v>3334</v>
      </c>
      <c r="L150" s="220">
        <f>IF(Table1[[#This Row],[Gross Profit]]&lt;&gt;0,Table1[[#This Row],[Gross Profit]]/Table1[[#This Row],[Revenue]],"")</f>
        <v>1.5482708498771693</v>
      </c>
      <c r="M150" s="72">
        <v>3055</v>
      </c>
      <c r="N150" s="72">
        <v>279</v>
      </c>
      <c r="O150" s="72">
        <v>106</v>
      </c>
      <c r="P150" s="72">
        <v>-25</v>
      </c>
      <c r="Q150" s="6">
        <f t="shared" si="4"/>
        <v>4.9225167992495489E-2</v>
      </c>
      <c r="R150" s="3"/>
      <c r="S150" s="3"/>
      <c r="T150" s="3"/>
    </row>
    <row r="151" spans="1:20" x14ac:dyDescent="0.35">
      <c r="A151" s="3"/>
      <c r="B151" s="110">
        <v>2021</v>
      </c>
      <c r="C151" s="110" t="s">
        <v>43</v>
      </c>
      <c r="D151" s="118" t="s">
        <v>21</v>
      </c>
      <c r="E151" s="71" t="s">
        <v>306</v>
      </c>
      <c r="F151" s="71" t="s">
        <v>304</v>
      </c>
      <c r="G151" s="86">
        <v>25</v>
      </c>
      <c r="H151" s="132" t="s">
        <v>307</v>
      </c>
      <c r="I151" s="140">
        <v>7759.39</v>
      </c>
      <c r="J151" s="72">
        <v>3769</v>
      </c>
      <c r="K151" s="72">
        <v>5110</v>
      </c>
      <c r="L151" s="221">
        <f>IF(Table1[[#This Row],[Gross Profit]]&lt;&gt;0,Table1[[#This Row],[Gross Profit]]/Table1[[#This Row],[Revenue]],"")</f>
        <v>0.65855692264469246</v>
      </c>
      <c r="M151" s="72">
        <v>3902</v>
      </c>
      <c r="N151" s="72">
        <v>1207</v>
      </c>
      <c r="O151" s="72">
        <v>703</v>
      </c>
      <c r="P151" s="72">
        <v>629</v>
      </c>
      <c r="Q151" s="6">
        <f t="shared" si="4"/>
        <v>9.0599905404935177E-2</v>
      </c>
      <c r="R151" s="3"/>
      <c r="S151" s="3"/>
      <c r="T151" s="3"/>
    </row>
    <row r="152" spans="1:20" x14ac:dyDescent="0.35">
      <c r="A152" s="9"/>
      <c r="B152" s="110">
        <v>2021</v>
      </c>
      <c r="C152" s="110" t="s">
        <v>43</v>
      </c>
      <c r="D152" s="118" t="s">
        <v>25</v>
      </c>
      <c r="E152" s="71" t="s">
        <v>308</v>
      </c>
      <c r="F152" s="71" t="s">
        <v>263</v>
      </c>
      <c r="G152" s="86">
        <v>35</v>
      </c>
      <c r="H152" s="132" t="s">
        <v>183</v>
      </c>
      <c r="I152" s="140">
        <v>10510.41</v>
      </c>
      <c r="J152" s="72">
        <v>5013</v>
      </c>
      <c r="K152" s="72">
        <v>7795</v>
      </c>
      <c r="L152" s="221">
        <f>IF(Table1[[#This Row],[Gross Profit]]&lt;&gt;0,Table1[[#This Row],[Gross Profit]]/Table1[[#This Row],[Revenue]],"")</f>
        <v>0.74164566368010387</v>
      </c>
      <c r="M152" s="72">
        <v>4285</v>
      </c>
      <c r="N152" s="72">
        <v>3510</v>
      </c>
      <c r="O152" s="72">
        <v>1970</v>
      </c>
      <c r="P152" s="72">
        <v>2178</v>
      </c>
      <c r="Q152" s="6">
        <f t="shared" si="4"/>
        <v>0.18743322096854453</v>
      </c>
      <c r="R152" s="3"/>
      <c r="S152" s="3"/>
      <c r="T152" s="3"/>
    </row>
    <row r="153" spans="1:20" x14ac:dyDescent="0.35">
      <c r="A153" s="9"/>
      <c r="B153" s="110">
        <v>2021</v>
      </c>
      <c r="C153" s="110" t="s">
        <v>43</v>
      </c>
      <c r="D153" s="118" t="s">
        <v>29</v>
      </c>
      <c r="E153" s="71" t="s">
        <v>309</v>
      </c>
      <c r="F153" s="71" t="s">
        <v>304</v>
      </c>
      <c r="G153" s="86">
        <v>25</v>
      </c>
      <c r="H153" s="132" t="s">
        <v>310</v>
      </c>
      <c r="I153" s="140">
        <v>4700</v>
      </c>
      <c r="J153" s="72">
        <v>2516</v>
      </c>
      <c r="K153" s="72">
        <v>2795</v>
      </c>
      <c r="L153" s="221">
        <f>IF(Table1[[#This Row],[Gross Profit]]&lt;&gt;0,Table1[[#This Row],[Gross Profit]]/Table1[[#This Row],[Revenue]],"")</f>
        <v>0.59468085106382984</v>
      </c>
      <c r="M153" s="72">
        <v>3905</v>
      </c>
      <c r="N153" s="72">
        <v>-1110</v>
      </c>
      <c r="O153" s="72">
        <v>-925</v>
      </c>
      <c r="P153" s="72">
        <v>1115</v>
      </c>
      <c r="Q153" s="6">
        <f t="shared" si="4"/>
        <v>-0.19680851063829788</v>
      </c>
      <c r="R153" s="3"/>
      <c r="S153" s="3"/>
      <c r="T153" s="3"/>
    </row>
    <row r="154" spans="1:20" x14ac:dyDescent="0.35">
      <c r="A154" s="3"/>
      <c r="B154" s="110">
        <v>2021</v>
      </c>
      <c r="C154" s="110" t="s">
        <v>43</v>
      </c>
      <c r="D154" s="118" t="s">
        <v>31</v>
      </c>
      <c r="E154" s="71" t="s">
        <v>311</v>
      </c>
      <c r="F154" s="71" t="s">
        <v>263</v>
      </c>
      <c r="G154" s="86">
        <v>25</v>
      </c>
      <c r="H154" s="132" t="s">
        <v>312</v>
      </c>
      <c r="I154" s="140">
        <v>2506.7399999999998</v>
      </c>
      <c r="J154" s="72">
        <v>1017</v>
      </c>
      <c r="K154" s="72">
        <v>2199</v>
      </c>
      <c r="L154" s="221">
        <f>IF(Table1[[#This Row],[Gross Profit]]&lt;&gt;0,Table1[[#This Row],[Gross Profit]]/Table1[[#This Row],[Revenue]],"")</f>
        <v>0.87723497450872456</v>
      </c>
      <c r="M154" s="72">
        <v>2802</v>
      </c>
      <c r="N154" s="72">
        <v>-602</v>
      </c>
      <c r="O154" s="72">
        <v>-492</v>
      </c>
      <c r="P154" s="72">
        <v>436</v>
      </c>
      <c r="Q154" s="6">
        <f t="shared" si="4"/>
        <v>-0.19627085377821396</v>
      </c>
      <c r="R154" s="3"/>
      <c r="S154" s="3"/>
      <c r="T154" s="3"/>
    </row>
    <row r="155" spans="1:20" x14ac:dyDescent="0.35">
      <c r="A155" s="9"/>
      <c r="B155" s="110">
        <v>2021</v>
      </c>
      <c r="C155" s="110" t="s">
        <v>43</v>
      </c>
      <c r="D155" s="118" t="s">
        <v>32</v>
      </c>
      <c r="E155" s="71" t="s">
        <v>313</v>
      </c>
      <c r="F155" s="71" t="s">
        <v>304</v>
      </c>
      <c r="G155" s="86">
        <v>25</v>
      </c>
      <c r="H155" s="132" t="s">
        <v>314</v>
      </c>
      <c r="I155" s="140">
        <v>3521.97</v>
      </c>
      <c r="J155" s="72">
        <v>912</v>
      </c>
      <c r="K155" s="72">
        <v>4371</v>
      </c>
      <c r="L155" s="221">
        <f>IF(Table1[[#This Row],[Gross Profit]]&lt;&gt;0,Table1[[#This Row],[Gross Profit]]/Table1[[#This Row],[Revenue]],"")</f>
        <v>1.2410667893252925</v>
      </c>
      <c r="M155" s="72">
        <v>3584</v>
      </c>
      <c r="N155" s="72">
        <v>787</v>
      </c>
      <c r="O155" s="72">
        <v>456</v>
      </c>
      <c r="P155" s="72">
        <v>95</v>
      </c>
      <c r="Q155" s="6">
        <f t="shared" si="4"/>
        <v>0.12947299380744301</v>
      </c>
      <c r="R155" s="3"/>
      <c r="S155" s="3"/>
      <c r="T155" s="3"/>
    </row>
    <row r="156" spans="1:20" x14ac:dyDescent="0.35">
      <c r="A156" s="9"/>
      <c r="B156" s="110">
        <v>2021</v>
      </c>
      <c r="C156" s="110" t="s">
        <v>43</v>
      </c>
      <c r="D156" s="118" t="s">
        <v>46</v>
      </c>
      <c r="E156" s="71" t="s">
        <v>315</v>
      </c>
      <c r="F156" s="71" t="s">
        <v>97</v>
      </c>
      <c r="G156" s="86">
        <v>35</v>
      </c>
      <c r="H156" s="132" t="s">
        <v>316</v>
      </c>
      <c r="I156" s="140">
        <v>9146.2099999999991</v>
      </c>
      <c r="J156" s="72">
        <v>3132</v>
      </c>
      <c r="K156" s="72">
        <v>6018</v>
      </c>
      <c r="L156" s="221">
        <f>IF(Table1[[#This Row],[Gross Profit]]&lt;&gt;0,Table1[[#This Row],[Gross Profit]]/Table1[[#This Row],[Revenue]],"")</f>
        <v>0.65797745732932011</v>
      </c>
      <c r="M156" s="72">
        <v>4334</v>
      </c>
      <c r="N156" s="72">
        <v>1683</v>
      </c>
      <c r="O156" s="72">
        <v>1061</v>
      </c>
      <c r="P156" s="72">
        <v>1863</v>
      </c>
      <c r="Q156" s="6">
        <f t="shared" si="4"/>
        <v>0.11600433403562788</v>
      </c>
      <c r="R156" s="3"/>
      <c r="S156" s="3"/>
      <c r="T156" s="3"/>
    </row>
    <row r="157" spans="1:20" x14ac:dyDescent="0.35">
      <c r="A157" s="3"/>
      <c r="B157" s="110">
        <v>2021</v>
      </c>
      <c r="C157" s="110" t="s">
        <v>43</v>
      </c>
      <c r="D157" s="118" t="s">
        <v>65</v>
      </c>
      <c r="E157" s="71" t="s">
        <v>317</v>
      </c>
      <c r="F157" s="71" t="s">
        <v>19</v>
      </c>
      <c r="G157" s="86">
        <v>35</v>
      </c>
      <c r="H157" s="132" t="s">
        <v>318</v>
      </c>
      <c r="I157" s="140">
        <v>9026.7199999999993</v>
      </c>
      <c r="J157" s="72">
        <v>6955</v>
      </c>
      <c r="K157" s="72">
        <v>5607</v>
      </c>
      <c r="L157" s="221">
        <f>IF(Table1[[#This Row],[Gross Profit]]&lt;&gt;0,Table1[[#This Row],[Gross Profit]]/Table1[[#This Row],[Revenue]],"")</f>
        <v>0.62115585727706191</v>
      </c>
      <c r="M157" s="72">
        <v>3852</v>
      </c>
      <c r="N157" s="72">
        <v>1755</v>
      </c>
      <c r="O157" s="72">
        <v>1240</v>
      </c>
      <c r="P157" s="72">
        <v>1049</v>
      </c>
      <c r="Q157" s="6">
        <f t="shared" si="4"/>
        <v>0.13736994168424413</v>
      </c>
      <c r="R157" s="3"/>
      <c r="S157" s="3"/>
      <c r="T157" s="3"/>
    </row>
    <row r="158" spans="1:20" x14ac:dyDescent="0.35">
      <c r="A158" s="9"/>
      <c r="B158" s="109">
        <v>2022</v>
      </c>
      <c r="C158" s="109" t="s">
        <v>16</v>
      </c>
      <c r="D158" s="117" t="s">
        <v>17</v>
      </c>
      <c r="E158" s="73" t="s">
        <v>319</v>
      </c>
      <c r="F158" s="73" t="s">
        <v>476</v>
      </c>
      <c r="G158" s="85"/>
      <c r="H158" s="131" t="s">
        <v>320</v>
      </c>
      <c r="I158" s="139">
        <v>3870</v>
      </c>
      <c r="J158" s="74">
        <v>1468</v>
      </c>
      <c r="K158" s="148">
        <v>2402</v>
      </c>
      <c r="L158" s="222">
        <f>IF(Table1[[#This Row],[Gross Profit]]&lt;&gt;0,Table1[[#This Row],[Gross Profit]]/Table1[[#This Row],[Revenue]],"")</f>
        <v>0.62067183462532305</v>
      </c>
      <c r="M158" s="74">
        <v>3118</v>
      </c>
      <c r="N158" s="74">
        <v>-715</v>
      </c>
      <c r="O158" s="74">
        <v>-625</v>
      </c>
      <c r="P158" s="74">
        <v>140</v>
      </c>
      <c r="Q158" s="6">
        <f t="shared" si="4"/>
        <v>-0.16149870801033592</v>
      </c>
      <c r="R158" s="3"/>
      <c r="S158" s="3"/>
      <c r="T158" s="3"/>
    </row>
    <row r="159" spans="1:20" x14ac:dyDescent="0.35">
      <c r="A159" s="9"/>
      <c r="B159" s="109">
        <v>2022</v>
      </c>
      <c r="C159" s="109" t="s">
        <v>16</v>
      </c>
      <c r="D159" s="117" t="s">
        <v>21</v>
      </c>
      <c r="E159" s="73" t="s">
        <v>321</v>
      </c>
      <c r="F159" s="73" t="s">
        <v>19</v>
      </c>
      <c r="G159" s="85">
        <v>35</v>
      </c>
      <c r="H159" s="131" t="s">
        <v>322</v>
      </c>
      <c r="I159" s="139">
        <v>16664</v>
      </c>
      <c r="J159" s="74">
        <v>5326</v>
      </c>
      <c r="K159" s="74">
        <v>11337</v>
      </c>
      <c r="L159" s="223">
        <f>IF(Table1[[#This Row],[Gross Profit]]&lt;&gt;0,Table1[[#This Row],[Gross Profit]]/Table1[[#This Row],[Revenue]],"")</f>
        <v>0.68032885261641862</v>
      </c>
      <c r="M159" s="74">
        <v>6910</v>
      </c>
      <c r="N159" s="74">
        <v>4428</v>
      </c>
      <c r="O159" s="74">
        <v>3043</v>
      </c>
      <c r="P159" s="74">
        <v>4464</v>
      </c>
      <c r="Q159" s="6">
        <f t="shared" si="4"/>
        <v>0.18260921747479597</v>
      </c>
      <c r="R159" s="3"/>
      <c r="S159" s="3"/>
      <c r="T159" s="3"/>
    </row>
    <row r="160" spans="1:20" x14ac:dyDescent="0.35">
      <c r="A160" s="3"/>
      <c r="B160" s="109">
        <v>2022</v>
      </c>
      <c r="C160" s="109" t="s">
        <v>16</v>
      </c>
      <c r="D160" s="117" t="s">
        <v>25</v>
      </c>
      <c r="E160" s="73" t="s">
        <v>323</v>
      </c>
      <c r="F160" s="73" t="s">
        <v>117</v>
      </c>
      <c r="G160" s="85"/>
      <c r="H160" s="131" t="s">
        <v>324</v>
      </c>
      <c r="I160" s="139">
        <v>14393</v>
      </c>
      <c r="J160" s="74">
        <v>2750</v>
      </c>
      <c r="K160" s="74">
        <v>11643</v>
      </c>
      <c r="L160" s="223">
        <f>IF(Table1[[#This Row],[Gross Profit]]&lt;&gt;0,Table1[[#This Row],[Gross Profit]]/Table1[[#This Row],[Revenue]],"")</f>
        <v>0.80893489890919201</v>
      </c>
      <c r="M160" s="74">
        <v>8257</v>
      </c>
      <c r="N160" s="74">
        <v>3386</v>
      </c>
      <c r="O160" s="74">
        <v>2868</v>
      </c>
      <c r="P160" s="74">
        <v>4375</v>
      </c>
      <c r="Q160" s="6">
        <f t="shared" si="4"/>
        <v>0.19926353088306817</v>
      </c>
      <c r="R160" s="3"/>
      <c r="S160" s="3"/>
      <c r="T160" s="3"/>
    </row>
    <row r="161" spans="1:20" x14ac:dyDescent="0.35">
      <c r="A161" s="9"/>
      <c r="B161" s="109">
        <v>2022</v>
      </c>
      <c r="C161" s="109" t="s">
        <v>16</v>
      </c>
      <c r="D161" s="117" t="s">
        <v>29</v>
      </c>
      <c r="E161" s="73" t="s">
        <v>325</v>
      </c>
      <c r="F161" s="73" t="s">
        <v>326</v>
      </c>
      <c r="G161" s="85">
        <v>35</v>
      </c>
      <c r="H161" s="131" t="s">
        <v>327</v>
      </c>
      <c r="I161" s="139">
        <v>5936</v>
      </c>
      <c r="J161" s="74">
        <v>1209</v>
      </c>
      <c r="K161" s="74">
        <v>4538</v>
      </c>
      <c r="L161" s="223">
        <f>IF(Table1[[#This Row],[Gross Profit]]&lt;&gt;0,Table1[[#This Row],[Gross Profit]]/Table1[[#This Row],[Revenue]],"")</f>
        <v>0.76448787061994605</v>
      </c>
      <c r="M161" s="74">
        <v>2930</v>
      </c>
      <c r="N161" s="74">
        <v>1608</v>
      </c>
      <c r="O161" s="74">
        <v>1053</v>
      </c>
      <c r="P161" s="74">
        <v>877</v>
      </c>
      <c r="Q161" s="6">
        <f t="shared" si="4"/>
        <v>0.17739218328840969</v>
      </c>
      <c r="R161" s="3"/>
      <c r="S161" s="3"/>
      <c r="T161" s="3"/>
    </row>
    <row r="162" spans="1:20" x14ac:dyDescent="0.35">
      <c r="A162" s="9"/>
      <c r="B162" s="109">
        <v>2022</v>
      </c>
      <c r="C162" s="109" t="s">
        <v>16</v>
      </c>
      <c r="D162" s="117" t="s">
        <v>31</v>
      </c>
      <c r="E162" s="73" t="s">
        <v>328</v>
      </c>
      <c r="F162" s="73" t="s">
        <v>329</v>
      </c>
      <c r="G162" s="85">
        <v>35</v>
      </c>
      <c r="H162" s="131" t="s">
        <v>330</v>
      </c>
      <c r="I162" s="139">
        <v>6030</v>
      </c>
      <c r="J162" s="74">
        <v>2469</v>
      </c>
      <c r="K162" s="74">
        <v>3562</v>
      </c>
      <c r="L162" s="223">
        <f>IF(Table1[[#This Row],[Gross Profit]]&lt;&gt;0,Table1[[#This Row],[Gross Profit]]/Table1[[#This Row],[Revenue]],"")</f>
        <v>0.5907131011608624</v>
      </c>
      <c r="M162" s="74">
        <v>3178</v>
      </c>
      <c r="N162" s="74">
        <v>383</v>
      </c>
      <c r="O162" s="74">
        <v>162</v>
      </c>
      <c r="P162" s="74">
        <v>334</v>
      </c>
      <c r="Q162" s="6">
        <f t="shared" si="4"/>
        <v>2.6865671641791045E-2</v>
      </c>
      <c r="R162" s="3"/>
      <c r="S162" s="3"/>
      <c r="T162" s="3"/>
    </row>
    <row r="163" spans="1:20" x14ac:dyDescent="0.35">
      <c r="A163" s="3"/>
      <c r="B163" s="109">
        <v>2022</v>
      </c>
      <c r="C163" s="109" t="s">
        <v>16</v>
      </c>
      <c r="D163" s="117" t="s">
        <v>32</v>
      </c>
      <c r="E163" s="73" t="s">
        <v>331</v>
      </c>
      <c r="F163" s="73" t="s">
        <v>304</v>
      </c>
      <c r="G163" s="85" t="s">
        <v>332</v>
      </c>
      <c r="H163" s="131" t="s">
        <v>333</v>
      </c>
      <c r="I163" s="139">
        <v>6380</v>
      </c>
      <c r="J163" s="74">
        <v>1935</v>
      </c>
      <c r="K163" s="74">
        <v>4444</v>
      </c>
      <c r="L163" s="223">
        <f>IF(Table1[[#This Row],[Gross Profit]]&lt;&gt;0,Table1[[#This Row],[Gross Profit]]/Table1[[#This Row],[Revenue]],"")</f>
        <v>0.69655172413793098</v>
      </c>
      <c r="M163" s="74">
        <v>4537</v>
      </c>
      <c r="N163" s="74">
        <v>-93</v>
      </c>
      <c r="O163" s="74">
        <v>-135</v>
      </c>
      <c r="P163" s="74">
        <v>0</v>
      </c>
      <c r="Q163" s="6">
        <f t="shared" ref="Q163:Q181" si="5">IFERROR(O163/I163,0)</f>
        <v>-2.115987460815047E-2</v>
      </c>
      <c r="R163" s="3"/>
      <c r="S163" s="3"/>
      <c r="T163" s="3"/>
    </row>
    <row r="164" spans="1:20" x14ac:dyDescent="0.35">
      <c r="A164" s="9"/>
      <c r="B164" s="109">
        <v>2022</v>
      </c>
      <c r="C164" s="109" t="s">
        <v>16</v>
      </c>
      <c r="D164" s="117" t="s">
        <v>46</v>
      </c>
      <c r="E164" s="73" t="s">
        <v>334</v>
      </c>
      <c r="F164" s="73" t="s">
        <v>329</v>
      </c>
      <c r="G164" s="85">
        <v>35</v>
      </c>
      <c r="H164" s="131" t="s">
        <v>335</v>
      </c>
      <c r="I164" s="139">
        <v>9936</v>
      </c>
      <c r="J164" s="74">
        <v>3626</v>
      </c>
      <c r="K164" s="74">
        <v>6310</v>
      </c>
      <c r="L164" s="223">
        <f>IF(Table1[[#This Row],[Gross Profit]]&lt;&gt;0,Table1[[#This Row],[Gross Profit]]/Table1[[#This Row],[Revenue]],"")</f>
        <v>0.63506441223832533</v>
      </c>
      <c r="M164" s="74">
        <v>5185</v>
      </c>
      <c r="N164" s="74">
        <v>1125</v>
      </c>
      <c r="O164" s="74">
        <v>698</v>
      </c>
      <c r="P164" s="74">
        <v>1056</v>
      </c>
      <c r="Q164" s="6">
        <f t="shared" si="5"/>
        <v>7.0249597423510474E-2</v>
      </c>
      <c r="R164" s="3"/>
      <c r="S164" s="3"/>
      <c r="T164" s="3"/>
    </row>
    <row r="165" spans="1:20" x14ac:dyDescent="0.35">
      <c r="A165" s="9"/>
      <c r="B165" s="108">
        <v>2022</v>
      </c>
      <c r="C165" s="108" t="s">
        <v>16</v>
      </c>
      <c r="D165" s="116" t="s">
        <v>65</v>
      </c>
      <c r="E165" s="121" t="s">
        <v>336</v>
      </c>
      <c r="F165" s="121" t="s">
        <v>117</v>
      </c>
      <c r="G165" s="124">
        <v>35</v>
      </c>
      <c r="H165" s="130" t="s">
        <v>337</v>
      </c>
      <c r="I165" s="138">
        <v>2580</v>
      </c>
      <c r="J165" s="145">
        <v>689</v>
      </c>
      <c r="K165" s="145">
        <v>1891</v>
      </c>
      <c r="L165" s="224">
        <f>IF(Table1[[#This Row],[Gross Profit]]&lt;&gt;0,Table1[[#This Row],[Gross Profit]]/Table1[[#This Row],[Revenue]],"")</f>
        <v>0.73294573643410854</v>
      </c>
      <c r="M165" s="145">
        <v>2721</v>
      </c>
      <c r="N165" s="145">
        <v>-830</v>
      </c>
      <c r="O165" s="145">
        <v>-648</v>
      </c>
      <c r="P165" s="145">
        <v>0</v>
      </c>
      <c r="Q165" s="6">
        <f t="shared" si="5"/>
        <v>-0.25116279069767444</v>
      </c>
      <c r="R165" s="3"/>
      <c r="S165" s="3"/>
      <c r="T165" s="3"/>
    </row>
    <row r="166" spans="1:20" x14ac:dyDescent="0.35">
      <c r="A166" s="3"/>
      <c r="B166" s="107">
        <v>2022</v>
      </c>
      <c r="C166" s="107" t="s">
        <v>36</v>
      </c>
      <c r="D166" s="115" t="s">
        <v>17</v>
      </c>
      <c r="E166" s="75" t="s">
        <v>338</v>
      </c>
      <c r="F166" s="75" t="s">
        <v>304</v>
      </c>
      <c r="G166" s="84">
        <v>25</v>
      </c>
      <c r="H166" s="129" t="s">
        <v>339</v>
      </c>
      <c r="I166" s="137">
        <v>6198</v>
      </c>
      <c r="J166" s="76">
        <v>3643</v>
      </c>
      <c r="K166" s="147">
        <f t="shared" ref="K166:K173" si="6">I166-J166</f>
        <v>2555</v>
      </c>
      <c r="L166" s="225">
        <f>IF(Table1[[#This Row],[Gross Profit]]&lt;&gt;0,Table1[[#This Row],[Gross Profit]]/Table1[[#This Row],[Revenue]],"")</f>
        <v>0.41222975153275249</v>
      </c>
      <c r="M166" s="76">
        <v>2151</v>
      </c>
      <c r="N166" s="76">
        <v>404</v>
      </c>
      <c r="O166" s="76">
        <v>170</v>
      </c>
      <c r="P166" s="76">
        <v>218</v>
      </c>
      <c r="Q166" s="6">
        <f t="shared" si="5"/>
        <v>2.7428202646014845E-2</v>
      </c>
      <c r="R166" s="3"/>
      <c r="S166" s="3"/>
      <c r="T166" s="3"/>
    </row>
    <row r="167" spans="1:20" x14ac:dyDescent="0.35">
      <c r="A167" s="9"/>
      <c r="B167" s="107">
        <v>2022</v>
      </c>
      <c r="C167" s="107" t="s">
        <v>36</v>
      </c>
      <c r="D167" s="115" t="s">
        <v>21</v>
      </c>
      <c r="E167" s="75" t="s">
        <v>340</v>
      </c>
      <c r="F167" s="75" t="s">
        <v>341</v>
      </c>
      <c r="G167" s="84" t="s">
        <v>342</v>
      </c>
      <c r="H167" s="129" t="s">
        <v>343</v>
      </c>
      <c r="I167" s="137">
        <v>2189</v>
      </c>
      <c r="J167" s="76">
        <v>615</v>
      </c>
      <c r="K167" s="147">
        <f t="shared" si="6"/>
        <v>1574</v>
      </c>
      <c r="L167" s="225">
        <f>IF(Table1[[#This Row],[Gross Profit]]&lt;&gt;0,Table1[[#This Row],[Gross Profit]]/Table1[[#This Row],[Revenue]],"")</f>
        <v>0.71904979442667882</v>
      </c>
      <c r="M167" s="76">
        <v>2353</v>
      </c>
      <c r="N167" s="76">
        <v>-779</v>
      </c>
      <c r="O167" s="76">
        <v>-571</v>
      </c>
      <c r="P167" s="76">
        <v>0</v>
      </c>
      <c r="Q167" s="6">
        <f t="shared" si="5"/>
        <v>-0.26084970306075833</v>
      </c>
      <c r="R167" s="3"/>
      <c r="S167" s="3"/>
      <c r="T167" s="3"/>
    </row>
    <row r="168" spans="1:20" x14ac:dyDescent="0.35">
      <c r="A168" s="9"/>
      <c r="B168" s="107">
        <v>2022</v>
      </c>
      <c r="C168" s="107" t="s">
        <v>36</v>
      </c>
      <c r="D168" s="115" t="s">
        <v>25</v>
      </c>
      <c r="E168" s="75" t="s">
        <v>344</v>
      </c>
      <c r="F168" s="75" t="s">
        <v>304</v>
      </c>
      <c r="G168" s="84">
        <v>25</v>
      </c>
      <c r="H168" s="129" t="s">
        <v>345</v>
      </c>
      <c r="I168" s="137">
        <v>4064</v>
      </c>
      <c r="J168" s="76">
        <v>2020</v>
      </c>
      <c r="K168" s="147">
        <f t="shared" si="6"/>
        <v>2044</v>
      </c>
      <c r="L168" s="225">
        <f>IF(Table1[[#This Row],[Gross Profit]]&lt;&gt;0,Table1[[#This Row],[Gross Profit]]/Table1[[#This Row],[Revenue]],"")</f>
        <v>0.50295275590551181</v>
      </c>
      <c r="M168" s="76">
        <v>2271</v>
      </c>
      <c r="N168" s="76">
        <v>-146</v>
      </c>
      <c r="O168" s="76">
        <v>-187</v>
      </c>
      <c r="P168" s="76">
        <v>21</v>
      </c>
      <c r="Q168" s="6">
        <f t="shared" si="5"/>
        <v>-4.6013779527559057E-2</v>
      </c>
      <c r="R168" s="3"/>
      <c r="S168" s="3"/>
      <c r="T168" s="3"/>
    </row>
    <row r="169" spans="1:20" x14ac:dyDescent="0.35">
      <c r="A169" s="3"/>
      <c r="B169" s="107">
        <v>2022</v>
      </c>
      <c r="C169" s="107" t="s">
        <v>36</v>
      </c>
      <c r="D169" s="115" t="s">
        <v>29</v>
      </c>
      <c r="E169" s="75" t="s">
        <v>346</v>
      </c>
      <c r="F169" s="75" t="s">
        <v>304</v>
      </c>
      <c r="G169" s="84">
        <v>25</v>
      </c>
      <c r="H169" s="129" t="s">
        <v>347</v>
      </c>
      <c r="I169" s="137">
        <v>5576</v>
      </c>
      <c r="J169" s="76">
        <v>1670</v>
      </c>
      <c r="K169" s="147">
        <f t="shared" si="6"/>
        <v>3906</v>
      </c>
      <c r="L169" s="225">
        <f>IF(Table1[[#This Row],[Gross Profit]]&lt;&gt;0,Table1[[#This Row],[Gross Profit]]/Table1[[#This Row],[Revenue]],"")</f>
        <v>0.70050215208034439</v>
      </c>
      <c r="M169" s="76">
        <v>3606</v>
      </c>
      <c r="N169" s="76">
        <v>300</v>
      </c>
      <c r="O169" s="76">
        <v>102</v>
      </c>
      <c r="P169" s="76">
        <v>146</v>
      </c>
      <c r="Q169" s="6">
        <f t="shared" si="5"/>
        <v>1.8292682926829267E-2</v>
      </c>
      <c r="R169" s="3"/>
      <c r="S169" s="3"/>
      <c r="T169" s="3"/>
    </row>
    <row r="170" spans="1:20" x14ac:dyDescent="0.35">
      <c r="A170" s="9"/>
      <c r="B170" s="107">
        <v>2022</v>
      </c>
      <c r="C170" s="107" t="s">
        <v>36</v>
      </c>
      <c r="D170" s="115" t="s">
        <v>31</v>
      </c>
      <c r="E170" s="75" t="s">
        <v>348</v>
      </c>
      <c r="F170" s="75" t="s">
        <v>304</v>
      </c>
      <c r="G170" s="84">
        <v>25</v>
      </c>
      <c r="H170" s="129" t="s">
        <v>349</v>
      </c>
      <c r="I170" s="137">
        <v>5497</v>
      </c>
      <c r="J170" s="76">
        <v>2259</v>
      </c>
      <c r="K170" s="147">
        <f t="shared" si="6"/>
        <v>3238</v>
      </c>
      <c r="L170" s="225">
        <f>IF(Table1[[#This Row],[Gross Profit]]&lt;&gt;0,Table1[[#This Row],[Gross Profit]]/Table1[[#This Row],[Revenue]],"")</f>
        <v>0.58904857194833549</v>
      </c>
      <c r="M170" s="76">
        <v>3401</v>
      </c>
      <c r="N170" s="76">
        <v>-163</v>
      </c>
      <c r="O170" s="76">
        <v>-156</v>
      </c>
      <c r="P170" s="76">
        <v>7</v>
      </c>
      <c r="Q170" s="6">
        <f t="shared" si="5"/>
        <v>-2.837911588138985E-2</v>
      </c>
      <c r="R170" s="3"/>
      <c r="S170" s="3"/>
      <c r="T170" s="3"/>
    </row>
    <row r="171" spans="1:20" x14ac:dyDescent="0.35">
      <c r="A171" s="9"/>
      <c r="B171" s="107">
        <v>2022</v>
      </c>
      <c r="C171" s="107" t="s">
        <v>36</v>
      </c>
      <c r="D171" s="115" t="s">
        <v>32</v>
      </c>
      <c r="E171" s="75" t="s">
        <v>350</v>
      </c>
      <c r="F171" s="75" t="s">
        <v>304</v>
      </c>
      <c r="G171" s="84">
        <v>25</v>
      </c>
      <c r="H171" s="129" t="s">
        <v>351</v>
      </c>
      <c r="I171" s="137">
        <v>2936</v>
      </c>
      <c r="J171" s="76">
        <v>537</v>
      </c>
      <c r="K171" s="147">
        <f t="shared" si="6"/>
        <v>2399</v>
      </c>
      <c r="L171" s="225">
        <f>IF(Table1[[#This Row],[Gross Profit]]&lt;&gt;0,Table1[[#This Row],[Gross Profit]]/Table1[[#This Row],[Revenue]],"")</f>
        <v>0.81709809264305178</v>
      </c>
      <c r="M171" s="76">
        <v>2307</v>
      </c>
      <c r="N171" s="76">
        <v>92</v>
      </c>
      <c r="O171" s="76">
        <v>261</v>
      </c>
      <c r="P171" s="76">
        <v>399</v>
      </c>
      <c r="Q171" s="6">
        <f t="shared" si="5"/>
        <v>8.8896457765667569E-2</v>
      </c>
      <c r="R171" s="3"/>
      <c r="S171" s="3"/>
      <c r="T171" s="3"/>
    </row>
    <row r="172" spans="1:20" x14ac:dyDescent="0.35">
      <c r="A172" s="3"/>
      <c r="B172" s="107">
        <v>2022</v>
      </c>
      <c r="C172" s="107" t="s">
        <v>36</v>
      </c>
      <c r="D172" s="115" t="s">
        <v>46</v>
      </c>
      <c r="E172" s="75" t="s">
        <v>352</v>
      </c>
      <c r="F172" s="75" t="s">
        <v>19</v>
      </c>
      <c r="G172" s="84">
        <v>35</v>
      </c>
      <c r="H172" s="129" t="s">
        <v>353</v>
      </c>
      <c r="I172" s="137">
        <v>12755</v>
      </c>
      <c r="J172" s="76">
        <v>4545</v>
      </c>
      <c r="K172" s="147">
        <f t="shared" si="6"/>
        <v>8210</v>
      </c>
      <c r="L172" s="225">
        <f>IF(Table1[[#This Row],[Gross Profit]]&lt;&gt;0,Table1[[#This Row],[Gross Profit]]/Table1[[#This Row],[Revenue]],"")</f>
        <v>0.64366914935319486</v>
      </c>
      <c r="M172" s="76">
        <v>4718</v>
      </c>
      <c r="N172" s="76">
        <v>3492</v>
      </c>
      <c r="O172" s="76">
        <v>2310</v>
      </c>
      <c r="P172" s="76">
        <v>3300</v>
      </c>
      <c r="Q172" s="6">
        <f t="shared" si="5"/>
        <v>0.18110544884359076</v>
      </c>
      <c r="R172" s="3"/>
      <c r="S172" s="3"/>
      <c r="T172" s="3"/>
    </row>
    <row r="173" spans="1:20" x14ac:dyDescent="0.35">
      <c r="A173" s="9"/>
      <c r="B173" s="106">
        <v>2022</v>
      </c>
      <c r="C173" s="107" t="s">
        <v>36</v>
      </c>
      <c r="D173" s="114" t="s">
        <v>65</v>
      </c>
      <c r="E173" s="120" t="s">
        <v>354</v>
      </c>
      <c r="F173" s="120" t="s">
        <v>304</v>
      </c>
      <c r="G173" s="123">
        <v>25</v>
      </c>
      <c r="H173" s="128" t="s">
        <v>355</v>
      </c>
      <c r="I173" s="136">
        <v>7603</v>
      </c>
      <c r="J173" s="144">
        <v>2011</v>
      </c>
      <c r="K173" s="147">
        <f t="shared" si="6"/>
        <v>5592</v>
      </c>
      <c r="L173" s="225">
        <f>IF(Table1[[#This Row],[Gross Profit]]&lt;&gt;0,Table1[[#This Row],[Gross Profit]]/Table1[[#This Row],[Revenue]],"")</f>
        <v>0.7354991450743128</v>
      </c>
      <c r="M173" s="144">
        <v>3963</v>
      </c>
      <c r="N173" s="144">
        <v>1665</v>
      </c>
      <c r="O173" s="144">
        <v>1108</v>
      </c>
      <c r="P173" s="144">
        <v>1610</v>
      </c>
      <c r="Q173" s="6">
        <f t="shared" si="5"/>
        <v>0.14573194791529659</v>
      </c>
      <c r="R173" s="3"/>
      <c r="S173" s="3"/>
      <c r="T173" s="3"/>
    </row>
    <row r="174" spans="1:20" x14ac:dyDescent="0.35">
      <c r="A174" s="9"/>
      <c r="B174" s="105">
        <v>2022</v>
      </c>
      <c r="C174" s="105" t="s">
        <v>43</v>
      </c>
      <c r="D174" s="113" t="s">
        <v>17</v>
      </c>
      <c r="E174" s="77" t="s">
        <v>356</v>
      </c>
      <c r="F174" s="77" t="s">
        <v>326</v>
      </c>
      <c r="G174" s="83" t="s">
        <v>342</v>
      </c>
      <c r="H174" s="127" t="s">
        <v>357</v>
      </c>
      <c r="I174" s="135">
        <v>2342</v>
      </c>
      <c r="J174" s="78">
        <v>637</v>
      </c>
      <c r="K174" s="146">
        <v>1705</v>
      </c>
      <c r="L174" s="226">
        <f>IF(Table1[[#This Row],[Gross Profit]]&lt;&gt;0,Table1[[#This Row],[Gross Profit]]/Table1[[#This Row],[Revenue]],"")</f>
        <v>0.72801024765157984</v>
      </c>
      <c r="M174" s="78">
        <v>2292</v>
      </c>
      <c r="N174" s="78">
        <v>-586</v>
      </c>
      <c r="O174" s="78">
        <v>-486</v>
      </c>
      <c r="P174" s="78">
        <v>587</v>
      </c>
      <c r="Q174" s="6">
        <f t="shared" si="5"/>
        <v>-0.20751494449188729</v>
      </c>
      <c r="R174" s="3"/>
      <c r="S174" s="3"/>
      <c r="T174" s="3"/>
    </row>
    <row r="175" spans="1:20" x14ac:dyDescent="0.35">
      <c r="A175" s="3"/>
      <c r="B175" s="105">
        <v>2022</v>
      </c>
      <c r="C175" s="105" t="s">
        <v>43</v>
      </c>
      <c r="D175" s="113" t="s">
        <v>21</v>
      </c>
      <c r="E175" s="77" t="s">
        <v>358</v>
      </c>
      <c r="F175" s="77" t="s">
        <v>19</v>
      </c>
      <c r="G175" s="83">
        <v>150</v>
      </c>
      <c r="H175" s="127" t="s">
        <v>359</v>
      </c>
      <c r="I175" s="135">
        <v>8953</v>
      </c>
      <c r="J175" s="78">
        <v>1511</v>
      </c>
      <c r="K175" s="146">
        <v>7442</v>
      </c>
      <c r="L175" s="226">
        <f>IF(Table1[[#This Row],[Gross Profit]]&lt;&gt;0,Table1[[#This Row],[Gross Profit]]/Table1[[#This Row],[Revenue]],"")</f>
        <v>0.83122975538925503</v>
      </c>
      <c r="M175" s="78">
        <v>6064</v>
      </c>
      <c r="N175" s="78">
        <v>1378</v>
      </c>
      <c r="O175" s="78">
        <v>830</v>
      </c>
      <c r="P175" s="78">
        <v>993</v>
      </c>
      <c r="Q175" s="6">
        <f t="shared" si="5"/>
        <v>9.2706355411593874E-2</v>
      </c>
      <c r="R175" s="3"/>
      <c r="S175" s="3"/>
      <c r="T175" s="3"/>
    </row>
    <row r="176" spans="1:20" x14ac:dyDescent="0.35">
      <c r="A176" s="9"/>
      <c r="B176" s="105">
        <v>2022</v>
      </c>
      <c r="C176" s="105" t="s">
        <v>43</v>
      </c>
      <c r="D176" s="113" t="s">
        <v>25</v>
      </c>
      <c r="E176" s="77" t="s">
        <v>360</v>
      </c>
      <c r="F176" s="77" t="s">
        <v>304</v>
      </c>
      <c r="G176" s="83" t="s">
        <v>342</v>
      </c>
      <c r="H176" s="127" t="s">
        <v>361</v>
      </c>
      <c r="I176" s="135">
        <v>8107</v>
      </c>
      <c r="J176" s="78">
        <v>2621</v>
      </c>
      <c r="K176" s="146">
        <v>5486</v>
      </c>
      <c r="L176" s="226">
        <f>IF(Table1[[#This Row],[Gross Profit]]&lt;&gt;0,Table1[[#This Row],[Gross Profit]]/Table1[[#This Row],[Revenue]],"")</f>
        <v>0.67669914888368077</v>
      </c>
      <c r="M176" s="78">
        <v>2938</v>
      </c>
      <c r="N176" s="78">
        <v>2549</v>
      </c>
      <c r="O176" s="78">
        <v>1727</v>
      </c>
      <c r="P176" s="78">
        <v>2499</v>
      </c>
      <c r="Q176" s="6">
        <f t="shared" si="5"/>
        <v>0.2130257801899593</v>
      </c>
      <c r="R176" s="3"/>
      <c r="S176" s="3"/>
      <c r="T176" s="3"/>
    </row>
    <row r="177" spans="1:20" x14ac:dyDescent="0.35">
      <c r="A177" s="9"/>
      <c r="B177" s="105">
        <v>2022</v>
      </c>
      <c r="C177" s="105" t="s">
        <v>43</v>
      </c>
      <c r="D177" s="113" t="s">
        <v>29</v>
      </c>
      <c r="E177" s="77" t="s">
        <v>362</v>
      </c>
      <c r="F177" s="77" t="s">
        <v>304</v>
      </c>
      <c r="G177" s="83">
        <v>25</v>
      </c>
      <c r="H177" s="127" t="s">
        <v>363</v>
      </c>
      <c r="I177" s="135">
        <v>6051</v>
      </c>
      <c r="J177" s="78">
        <v>2820</v>
      </c>
      <c r="K177" s="146">
        <v>3230</v>
      </c>
      <c r="L177" s="226">
        <f>IF(Table1[[#This Row],[Gross Profit]]&lt;&gt;0,Table1[[#This Row],[Gross Profit]]/Table1[[#This Row],[Revenue]],"")</f>
        <v>0.53379606676582381</v>
      </c>
      <c r="M177" s="78">
        <v>2427</v>
      </c>
      <c r="N177" s="78">
        <v>803</v>
      </c>
      <c r="O177" s="78">
        <v>480</v>
      </c>
      <c r="P177" s="78">
        <v>523</v>
      </c>
      <c r="Q177" s="6">
        <f t="shared" si="5"/>
        <v>7.932573128408528E-2</v>
      </c>
      <c r="R177" s="3"/>
      <c r="S177" s="3"/>
      <c r="T177" s="3"/>
    </row>
    <row r="178" spans="1:20" x14ac:dyDescent="0.35">
      <c r="A178" s="3"/>
      <c r="B178" s="105">
        <v>2022</v>
      </c>
      <c r="C178" s="105" t="s">
        <v>43</v>
      </c>
      <c r="D178" s="113" t="s">
        <v>31</v>
      </c>
      <c r="E178" s="77" t="s">
        <v>364</v>
      </c>
      <c r="F178" s="77" t="s">
        <v>326</v>
      </c>
      <c r="G178" s="83">
        <v>25</v>
      </c>
      <c r="H178" s="127" t="s">
        <v>365</v>
      </c>
      <c r="I178" s="135">
        <v>8326</v>
      </c>
      <c r="J178" s="78">
        <v>1188</v>
      </c>
      <c r="K178" s="146">
        <v>7138</v>
      </c>
      <c r="L178" s="226">
        <f>IF(Table1[[#This Row],[Gross Profit]]&lt;&gt;0,Table1[[#This Row],[Gross Profit]]/Table1[[#This Row],[Revenue]],"")</f>
        <v>0.85731443670429974</v>
      </c>
      <c r="M178" s="78">
        <v>4068</v>
      </c>
      <c r="N178" s="78">
        <v>3069</v>
      </c>
      <c r="O178" s="78">
        <v>2174</v>
      </c>
      <c r="P178" s="78">
        <v>2997</v>
      </c>
      <c r="Q178" s="6">
        <f t="shared" si="5"/>
        <v>0.261109776603411</v>
      </c>
      <c r="R178" s="3"/>
      <c r="S178" s="3"/>
      <c r="T178" s="3"/>
    </row>
    <row r="179" spans="1:20" x14ac:dyDescent="0.35">
      <c r="A179" s="9"/>
      <c r="B179" s="105">
        <v>2022</v>
      </c>
      <c r="C179" s="105" t="s">
        <v>43</v>
      </c>
      <c r="D179" s="113" t="s">
        <v>32</v>
      </c>
      <c r="E179" s="77" t="s">
        <v>366</v>
      </c>
      <c r="F179" s="77" t="s">
        <v>27</v>
      </c>
      <c r="G179" s="83">
        <v>100</v>
      </c>
      <c r="H179" s="127" t="s">
        <v>367</v>
      </c>
      <c r="I179" s="135">
        <v>8011</v>
      </c>
      <c r="J179" s="78">
        <v>3037</v>
      </c>
      <c r="K179" s="146">
        <v>4974</v>
      </c>
      <c r="L179" s="226">
        <f>IF(Table1[[#This Row],[Gross Profit]]&lt;&gt;0,Table1[[#This Row],[Gross Profit]]/Table1[[#This Row],[Revenue]],"")</f>
        <v>0.620896267632006</v>
      </c>
      <c r="M179" s="78">
        <v>4385</v>
      </c>
      <c r="N179" s="78">
        <v>589</v>
      </c>
      <c r="O179" s="78">
        <v>299</v>
      </c>
      <c r="P179" s="78">
        <v>253</v>
      </c>
      <c r="Q179" s="6">
        <f t="shared" si="5"/>
        <v>3.7323679940082385E-2</v>
      </c>
      <c r="R179" s="3"/>
      <c r="S179" s="3"/>
      <c r="T179" s="3"/>
    </row>
    <row r="180" spans="1:20" x14ac:dyDescent="0.35">
      <c r="A180" s="9"/>
      <c r="B180" s="105">
        <v>2022</v>
      </c>
      <c r="C180" s="105" t="s">
        <v>43</v>
      </c>
      <c r="D180" s="113" t="s">
        <v>46</v>
      </c>
      <c r="E180" s="77" t="s">
        <v>368</v>
      </c>
      <c r="F180" s="77" t="s">
        <v>326</v>
      </c>
      <c r="G180" s="83">
        <v>35</v>
      </c>
      <c r="H180" s="127" t="s">
        <v>234</v>
      </c>
      <c r="I180" s="135">
        <v>5796</v>
      </c>
      <c r="J180" s="78">
        <v>1479</v>
      </c>
      <c r="K180" s="146">
        <v>4317</v>
      </c>
      <c r="L180" s="226">
        <f>IF(Table1[[#This Row],[Gross Profit]]&lt;&gt;0,Table1[[#This Row],[Gross Profit]]/Table1[[#This Row],[Revenue]],"")</f>
        <v>0.74482401656314701</v>
      </c>
      <c r="M180" s="78">
        <v>3714</v>
      </c>
      <c r="N180" s="78">
        <v>602</v>
      </c>
      <c r="O180" s="78">
        <v>270</v>
      </c>
      <c r="P180" s="78">
        <v>1</v>
      </c>
      <c r="Q180" s="6">
        <f t="shared" si="5"/>
        <v>4.6583850931677016E-2</v>
      </c>
      <c r="R180" s="3"/>
      <c r="S180" s="3"/>
      <c r="T180" s="3"/>
    </row>
    <row r="181" spans="1:20" ht="15" thickBot="1" x14ac:dyDescent="0.4">
      <c r="A181" s="3"/>
      <c r="B181" s="104">
        <v>2022</v>
      </c>
      <c r="C181" s="105" t="s">
        <v>43</v>
      </c>
      <c r="D181" s="112" t="s">
        <v>65</v>
      </c>
      <c r="E181" s="119" t="s">
        <v>369</v>
      </c>
      <c r="F181" s="119" t="s">
        <v>326</v>
      </c>
      <c r="G181" s="122">
        <v>35</v>
      </c>
      <c r="H181" s="126" t="s">
        <v>370</v>
      </c>
      <c r="I181" s="134">
        <v>9031</v>
      </c>
      <c r="J181" s="143">
        <v>2378</v>
      </c>
      <c r="K181" s="146">
        <v>6653</v>
      </c>
      <c r="L181" s="226">
        <f>IF(Table1[[#This Row],[Gross Profit]]&lt;&gt;0,Table1[[#This Row],[Gross Profit]]/Table1[[#This Row],[Revenue]],"")</f>
        <v>0.73668475251910093</v>
      </c>
      <c r="M181" s="143">
        <v>4337</v>
      </c>
      <c r="N181" s="143">
        <v>2276</v>
      </c>
      <c r="O181" s="143">
        <v>1513</v>
      </c>
      <c r="P181" s="143">
        <v>2026</v>
      </c>
      <c r="Q181" s="6">
        <f t="shared" si="5"/>
        <v>0.16753404938545011</v>
      </c>
      <c r="R181" s="3"/>
      <c r="S181" s="3"/>
      <c r="T181" s="3"/>
    </row>
    <row r="182" spans="1:20" x14ac:dyDescent="0.35">
      <c r="A182" s="3"/>
      <c r="B182" s="95">
        <v>2023</v>
      </c>
      <c r="C182" s="96" t="s">
        <v>16</v>
      </c>
      <c r="D182" s="96" t="s">
        <v>17</v>
      </c>
      <c r="E182" s="96" t="s">
        <v>371</v>
      </c>
      <c r="F182" s="96" t="s">
        <v>326</v>
      </c>
      <c r="G182" s="97">
        <v>35</v>
      </c>
      <c r="H182" s="98" t="s">
        <v>372</v>
      </c>
      <c r="I182" s="99">
        <v>18754</v>
      </c>
      <c r="J182" s="150">
        <v>2019</v>
      </c>
      <c r="K182" s="150">
        <v>13508</v>
      </c>
      <c r="L182" s="227">
        <f>IF(Table1[[#This Row],[Gross Profit]]&lt;&gt;0,Table1[[#This Row],[Gross Profit]]/Table1[[#This Row],[Revenue]],"")</f>
        <v>0.72027300842486941</v>
      </c>
      <c r="M182" s="150">
        <v>6330</v>
      </c>
      <c r="N182" s="99">
        <v>8260</v>
      </c>
      <c r="O182" s="99">
        <v>5127</v>
      </c>
      <c r="P182" s="100">
        <v>6021</v>
      </c>
      <c r="Q182" s="6">
        <f t="shared" ref="Q182:Q198" si="7">IFERROR(O182/I182,0)</f>
        <v>0.27338167857523726</v>
      </c>
      <c r="R182" s="3"/>
      <c r="S182" s="3"/>
      <c r="T182" s="3"/>
    </row>
    <row r="183" spans="1:20" x14ac:dyDescent="0.35">
      <c r="A183" s="3"/>
      <c r="B183" s="101">
        <v>2023</v>
      </c>
      <c r="C183" s="87" t="s">
        <v>16</v>
      </c>
      <c r="D183" s="87" t="s">
        <v>21</v>
      </c>
      <c r="E183" s="87" t="s">
        <v>373</v>
      </c>
      <c r="F183" s="87" t="s">
        <v>117</v>
      </c>
      <c r="G183" s="89">
        <v>35</v>
      </c>
      <c r="H183" s="82" t="s">
        <v>374</v>
      </c>
      <c r="I183" s="88">
        <v>10221</v>
      </c>
      <c r="J183" s="88">
        <v>3859</v>
      </c>
      <c r="K183" s="88">
        <v>6362</v>
      </c>
      <c r="L183" s="228">
        <f>IF(Table1[[#This Row],[Gross Profit]]&lt;&gt;0,Table1[[#This Row],[Gross Profit]]/Table1[[#This Row],[Revenue]],"")</f>
        <v>0.62244398786811461</v>
      </c>
      <c r="M183" s="88">
        <v>3877</v>
      </c>
      <c r="N183" s="88">
        <v>2485</v>
      </c>
      <c r="O183" s="88">
        <v>1345</v>
      </c>
      <c r="P183" s="102">
        <v>1922</v>
      </c>
      <c r="Q183" s="6">
        <f t="shared" si="7"/>
        <v>0.13159182076117798</v>
      </c>
      <c r="R183" s="3"/>
      <c r="S183" s="3"/>
      <c r="T183" s="3"/>
    </row>
    <row r="184" spans="1:20" x14ac:dyDescent="0.35">
      <c r="A184" s="3"/>
      <c r="B184" s="101">
        <v>2023</v>
      </c>
      <c r="C184" s="87" t="s">
        <v>16</v>
      </c>
      <c r="D184" s="87" t="s">
        <v>25</v>
      </c>
      <c r="E184" s="87" t="s">
        <v>375</v>
      </c>
      <c r="F184" s="87" t="s">
        <v>329</v>
      </c>
      <c r="G184" s="89">
        <v>35</v>
      </c>
      <c r="H184" s="82" t="s">
        <v>376</v>
      </c>
      <c r="I184" s="88">
        <v>6528</v>
      </c>
      <c r="J184" s="88">
        <v>2507</v>
      </c>
      <c r="K184" s="88">
        <v>4021</v>
      </c>
      <c r="L184" s="228">
        <f>IF(Table1[[#This Row],[Gross Profit]]&lt;&gt;0,Table1[[#This Row],[Gross Profit]]/Table1[[#This Row],[Revenue]],"")</f>
        <v>0.61596200980392157</v>
      </c>
      <c r="M184" s="88">
        <v>2913</v>
      </c>
      <c r="N184" s="88">
        <v>1108</v>
      </c>
      <c r="O184" s="88">
        <v>523</v>
      </c>
      <c r="P184" s="102">
        <v>627</v>
      </c>
      <c r="Q184" s="6">
        <f t="shared" si="7"/>
        <v>8.0116421568627458E-2</v>
      </c>
      <c r="R184" s="3"/>
      <c r="S184" s="3"/>
      <c r="T184" s="3"/>
    </row>
    <row r="185" spans="1:20" x14ac:dyDescent="0.35">
      <c r="A185" s="3"/>
      <c r="B185" s="101">
        <v>2023</v>
      </c>
      <c r="C185" s="87" t="s">
        <v>16</v>
      </c>
      <c r="D185" s="87" t="s">
        <v>29</v>
      </c>
      <c r="E185" s="87" t="s">
        <v>377</v>
      </c>
      <c r="F185" s="87" t="s">
        <v>19</v>
      </c>
      <c r="G185" s="89">
        <v>150</v>
      </c>
      <c r="H185" s="82" t="s">
        <v>378</v>
      </c>
      <c r="I185" s="88">
        <v>8146</v>
      </c>
      <c r="J185" s="88">
        <v>2340</v>
      </c>
      <c r="K185" s="88">
        <v>5805</v>
      </c>
      <c r="L185" s="228">
        <f>IF(Table1[[#This Row],[Gross Profit]]&lt;&gt;0,Table1[[#This Row],[Gross Profit]]/Table1[[#This Row],[Revenue]],"")</f>
        <v>0.71261969064571573</v>
      </c>
      <c r="M185" s="88">
        <v>6505</v>
      </c>
      <c r="N185" s="88">
        <v>-700</v>
      </c>
      <c r="O185" s="88">
        <v>-758</v>
      </c>
      <c r="P185" s="102">
        <v>73</v>
      </c>
      <c r="Q185" s="6">
        <f t="shared" si="7"/>
        <v>-9.3051804566658486E-2</v>
      </c>
      <c r="R185" s="3"/>
      <c r="S185" s="3"/>
      <c r="T185" s="3"/>
    </row>
    <row r="186" spans="1:20" x14ac:dyDescent="0.35">
      <c r="A186" s="3"/>
      <c r="B186" s="101">
        <v>2023</v>
      </c>
      <c r="C186" s="87" t="s">
        <v>16</v>
      </c>
      <c r="D186" s="87" t="s">
        <v>31</v>
      </c>
      <c r="E186" s="87" t="s">
        <v>379</v>
      </c>
      <c r="F186" s="87" t="s">
        <v>27</v>
      </c>
      <c r="G186" s="89">
        <v>150</v>
      </c>
      <c r="H186" s="82" t="s">
        <v>380</v>
      </c>
      <c r="I186" s="88">
        <v>14384</v>
      </c>
      <c r="J186" s="88">
        <v>6699</v>
      </c>
      <c r="K186" s="88">
        <v>7685</v>
      </c>
      <c r="L186" s="228">
        <f>IF(Table1[[#This Row],[Gross Profit]]&lt;&gt;0,Table1[[#This Row],[Gross Profit]]/Table1[[#This Row],[Revenue]],"")</f>
        <v>0.53427419354838712</v>
      </c>
      <c r="M186" s="88">
        <v>6654</v>
      </c>
      <c r="N186" s="88">
        <v>1031</v>
      </c>
      <c r="O186" s="88">
        <v>555</v>
      </c>
      <c r="P186" s="102">
        <v>714</v>
      </c>
      <c r="Q186" s="6">
        <f t="shared" si="7"/>
        <v>3.8584538375973303E-2</v>
      </c>
      <c r="R186" s="3"/>
      <c r="S186" s="3"/>
      <c r="T186" s="3"/>
    </row>
    <row r="187" spans="1:20" x14ac:dyDescent="0.35">
      <c r="A187" s="3"/>
      <c r="B187" s="101">
        <v>2023</v>
      </c>
      <c r="C187" s="87" t="s">
        <v>16</v>
      </c>
      <c r="D187" s="87" t="s">
        <v>32</v>
      </c>
      <c r="E187" s="87" t="s">
        <v>381</v>
      </c>
      <c r="F187" s="87" t="s">
        <v>117</v>
      </c>
      <c r="G187" s="89">
        <v>35</v>
      </c>
      <c r="H187" s="82" t="s">
        <v>382</v>
      </c>
      <c r="I187" s="88">
        <v>6669</v>
      </c>
      <c r="J187" s="88">
        <v>2007</v>
      </c>
      <c r="K187" s="88">
        <v>4662</v>
      </c>
      <c r="L187" s="228">
        <f>IF(Table1[[#This Row],[Gross Profit]]&lt;&gt;0,Table1[[#This Row],[Gross Profit]]/Table1[[#This Row],[Revenue]],"")</f>
        <v>0.69905533063427805</v>
      </c>
      <c r="M187" s="88">
        <v>2614</v>
      </c>
      <c r="N187" s="88">
        <v>2048</v>
      </c>
      <c r="O187" s="88">
        <v>1338</v>
      </c>
      <c r="P187" s="102">
        <v>2177</v>
      </c>
      <c r="Q187" s="6">
        <f t="shared" si="7"/>
        <v>0.200629779577148</v>
      </c>
      <c r="R187" s="3"/>
      <c r="S187" s="3"/>
      <c r="T187" s="3"/>
    </row>
    <row r="188" spans="1:20" x14ac:dyDescent="0.35">
      <c r="A188" s="3"/>
      <c r="B188" s="101">
        <v>2023</v>
      </c>
      <c r="C188" s="87" t="s">
        <v>16</v>
      </c>
      <c r="D188" s="87" t="s">
        <v>46</v>
      </c>
      <c r="E188" s="87" t="s">
        <v>383</v>
      </c>
      <c r="F188" s="87" t="s">
        <v>97</v>
      </c>
      <c r="G188" s="89">
        <v>35</v>
      </c>
      <c r="H188" s="82" t="s">
        <v>384</v>
      </c>
      <c r="I188" s="88">
        <v>4319</v>
      </c>
      <c r="J188" s="88">
        <v>500</v>
      </c>
      <c r="K188" s="88">
        <v>3819</v>
      </c>
      <c r="L188" s="228">
        <f>IF(Table1[[#This Row],[Gross Profit]]&lt;&gt;0,Table1[[#This Row],[Gross Profit]]/Table1[[#This Row],[Revenue]],"")</f>
        <v>0.88423246121787447</v>
      </c>
      <c r="M188" s="88">
        <v>3727</v>
      </c>
      <c r="N188" s="88">
        <v>93</v>
      </c>
      <c r="O188" s="88">
        <v>-44</v>
      </c>
      <c r="P188" s="102">
        <v>51</v>
      </c>
      <c r="Q188" s="6">
        <f t="shared" si="7"/>
        <v>-1.0187543412827044E-2</v>
      </c>
      <c r="R188" s="3"/>
      <c r="S188" s="3"/>
      <c r="T188" s="3"/>
    </row>
    <row r="189" spans="1:20" x14ac:dyDescent="0.35">
      <c r="A189" s="3"/>
      <c r="B189" s="163">
        <v>2023</v>
      </c>
      <c r="C189" s="164" t="s">
        <v>16</v>
      </c>
      <c r="D189" s="164" t="s">
        <v>65</v>
      </c>
      <c r="E189" s="164" t="s">
        <v>385</v>
      </c>
      <c r="F189" s="164" t="s">
        <v>263</v>
      </c>
      <c r="G189" s="165">
        <v>35</v>
      </c>
      <c r="H189" s="166" t="s">
        <v>386</v>
      </c>
      <c r="I189" s="167">
        <v>11056</v>
      </c>
      <c r="J189" s="167">
        <v>5020</v>
      </c>
      <c r="K189" s="167">
        <v>6036</v>
      </c>
      <c r="L189" s="229">
        <f>IF(Table1[[#This Row],[Gross Profit]]&lt;&gt;0,Table1[[#This Row],[Gross Profit]]/Table1[[#This Row],[Revenue]],"")</f>
        <v>0.54594790159189577</v>
      </c>
      <c r="M189" s="167">
        <v>3405</v>
      </c>
      <c r="N189" s="167">
        <v>2630</v>
      </c>
      <c r="O189" s="167">
        <v>1579</v>
      </c>
      <c r="P189" s="168">
        <v>2256</v>
      </c>
      <c r="Q189" s="6">
        <f t="shared" si="7"/>
        <v>0.14281837916063675</v>
      </c>
      <c r="R189" s="3"/>
      <c r="S189" s="3"/>
      <c r="T189" s="3"/>
    </row>
    <row r="190" spans="1:20" x14ac:dyDescent="0.35">
      <c r="B190" s="151">
        <v>2023</v>
      </c>
      <c r="C190" s="152" t="s">
        <v>36</v>
      </c>
      <c r="D190" s="152" t="s">
        <v>17</v>
      </c>
      <c r="E190" s="152" t="s">
        <v>387</v>
      </c>
      <c r="F190" s="152" t="s">
        <v>388</v>
      </c>
      <c r="G190" s="153">
        <v>25</v>
      </c>
      <c r="H190" s="154" t="s">
        <v>389</v>
      </c>
      <c r="I190" s="155">
        <v>8111</v>
      </c>
      <c r="J190" s="155">
        <v>276</v>
      </c>
      <c r="K190" s="155">
        <f>I190-J190</f>
        <v>7835</v>
      </c>
      <c r="L190" s="230">
        <f>IF(Table1[[#This Row],[Gross Profit]]&lt;&gt;0,Table1[[#This Row],[Gross Profit]]/Table1[[#This Row],[Revenue]],"")</f>
        <v>0.96597213660461101</v>
      </c>
      <c r="M190" s="155">
        <v>4513</v>
      </c>
      <c r="N190" s="155">
        <v>3323</v>
      </c>
      <c r="O190" s="155">
        <v>2208</v>
      </c>
      <c r="P190" s="156">
        <v>3155</v>
      </c>
      <c r="Q190" s="6">
        <f t="shared" si="7"/>
        <v>0.27222290716311182</v>
      </c>
    </row>
    <row r="191" spans="1:20" x14ac:dyDescent="0.35">
      <c r="B191" s="157">
        <v>2023</v>
      </c>
      <c r="C191" s="158" t="s">
        <v>36</v>
      </c>
      <c r="D191" s="158" t="s">
        <v>21</v>
      </c>
      <c r="E191" s="158" t="s">
        <v>390</v>
      </c>
      <c r="F191" s="158" t="s">
        <v>391</v>
      </c>
      <c r="G191" s="159">
        <v>150</v>
      </c>
      <c r="H191" s="160" t="s">
        <v>392</v>
      </c>
      <c r="I191" s="161">
        <v>8944</v>
      </c>
      <c r="J191" s="161">
        <v>3205</v>
      </c>
      <c r="K191" s="161">
        <f t="shared" ref="K191:K198" si="8">I191-J191</f>
        <v>5739</v>
      </c>
      <c r="L191" s="231">
        <f>IF(Table1[[#This Row],[Gross Profit]]&lt;&gt;0,Table1[[#This Row],[Gross Profit]]/Table1[[#This Row],[Revenue]],"")</f>
        <v>0.64165921288014316</v>
      </c>
      <c r="M191" s="161">
        <v>5609</v>
      </c>
      <c r="N191" s="161">
        <v>129</v>
      </c>
      <c r="O191" s="161">
        <v>-187</v>
      </c>
      <c r="P191" s="162">
        <v>0</v>
      </c>
      <c r="Q191" s="6">
        <f t="shared" si="7"/>
        <v>-2.0907871198568875E-2</v>
      </c>
    </row>
    <row r="192" spans="1:20" x14ac:dyDescent="0.35">
      <c r="B192" s="157">
        <v>2023</v>
      </c>
      <c r="C192" s="158" t="s">
        <v>36</v>
      </c>
      <c r="D192" s="158" t="s">
        <v>25</v>
      </c>
      <c r="E192" s="158" t="s">
        <v>393</v>
      </c>
      <c r="F192" s="158" t="s">
        <v>388</v>
      </c>
      <c r="G192" s="159">
        <v>25</v>
      </c>
      <c r="H192" s="160" t="s">
        <v>394</v>
      </c>
      <c r="I192" s="161">
        <v>4023</v>
      </c>
      <c r="J192" s="161">
        <v>893</v>
      </c>
      <c r="K192" s="161">
        <f t="shared" si="8"/>
        <v>3130</v>
      </c>
      <c r="L192" s="231">
        <f>IF(Table1[[#This Row],[Gross Profit]]&lt;&gt;0,Table1[[#This Row],[Gross Profit]]/Table1[[#This Row],[Revenue]],"")</f>
        <v>0.77802634849614716</v>
      </c>
      <c r="M192" s="161">
        <v>2442</v>
      </c>
      <c r="N192" s="161">
        <v>688</v>
      </c>
      <c r="O192" s="161">
        <v>-2</v>
      </c>
      <c r="P192" s="162">
        <v>0</v>
      </c>
      <c r="Q192" s="6">
        <f t="shared" si="7"/>
        <v>-4.9714143673875214E-4</v>
      </c>
    </row>
    <row r="193" spans="2:17" x14ac:dyDescent="0.35">
      <c r="B193" s="157">
        <v>2023</v>
      </c>
      <c r="C193" s="158" t="s">
        <v>36</v>
      </c>
      <c r="D193" s="158" t="s">
        <v>29</v>
      </c>
      <c r="E193" s="158" t="s">
        <v>395</v>
      </c>
      <c r="F193" s="158" t="s">
        <v>117</v>
      </c>
      <c r="G193" s="159">
        <v>35</v>
      </c>
      <c r="H193" s="160" t="s">
        <v>396</v>
      </c>
      <c r="I193" s="161">
        <v>5372</v>
      </c>
      <c r="J193" s="161">
        <v>2384</v>
      </c>
      <c r="K193" s="161">
        <f t="shared" si="8"/>
        <v>2988</v>
      </c>
      <c r="L193" s="231">
        <f>IF(Table1[[#This Row],[Gross Profit]]&lt;&gt;0,Table1[[#This Row],[Gross Profit]]/Table1[[#This Row],[Revenue]],"")</f>
        <v>0.55621742367833205</v>
      </c>
      <c r="M193" s="161">
        <v>3146</v>
      </c>
      <c r="N193" s="161">
        <v>-158</v>
      </c>
      <c r="O193" s="161">
        <v>-328</v>
      </c>
      <c r="P193" s="162">
        <v>0</v>
      </c>
      <c r="Q193" s="6">
        <f t="shared" si="7"/>
        <v>-6.1057334326135519E-2</v>
      </c>
    </row>
    <row r="194" spans="2:17" x14ac:dyDescent="0.35">
      <c r="B194" s="157">
        <v>2023</v>
      </c>
      <c r="C194" s="158" t="s">
        <v>36</v>
      </c>
      <c r="D194" s="158" t="s">
        <v>31</v>
      </c>
      <c r="E194" s="158" t="s">
        <v>397</v>
      </c>
      <c r="F194" s="158" t="s">
        <v>388</v>
      </c>
      <c r="G194" s="159">
        <v>25</v>
      </c>
      <c r="H194" s="160" t="s">
        <v>398</v>
      </c>
      <c r="I194" s="161">
        <v>4972</v>
      </c>
      <c r="J194" s="161">
        <v>1815</v>
      </c>
      <c r="K194" s="161">
        <f t="shared" si="8"/>
        <v>3157</v>
      </c>
      <c r="L194" s="231">
        <f>IF(Table1[[#This Row],[Gross Profit]]&lt;&gt;0,Table1[[#This Row],[Gross Profit]]/Table1[[#This Row],[Revenue]],"")</f>
        <v>0.63495575221238942</v>
      </c>
      <c r="M194" s="161">
        <v>3060</v>
      </c>
      <c r="N194" s="161">
        <v>97</v>
      </c>
      <c r="O194" s="161">
        <v>-35</v>
      </c>
      <c r="P194" s="162">
        <v>0</v>
      </c>
      <c r="Q194" s="6">
        <f t="shared" si="7"/>
        <v>-7.0394207562349152E-3</v>
      </c>
    </row>
    <row r="195" spans="2:17" x14ac:dyDescent="0.35">
      <c r="B195" s="157">
        <v>2023</v>
      </c>
      <c r="C195" s="158" t="s">
        <v>36</v>
      </c>
      <c r="D195" s="158" t="s">
        <v>32</v>
      </c>
      <c r="E195" s="158" t="s">
        <v>399</v>
      </c>
      <c r="F195" s="158" t="s">
        <v>388</v>
      </c>
      <c r="G195" s="159">
        <v>25</v>
      </c>
      <c r="H195" s="160" t="s">
        <v>400</v>
      </c>
      <c r="I195" s="161">
        <v>3675</v>
      </c>
      <c r="J195" s="161">
        <v>754</v>
      </c>
      <c r="K195" s="161">
        <f t="shared" si="8"/>
        <v>2921</v>
      </c>
      <c r="L195" s="231">
        <f>IF(Table1[[#This Row],[Gross Profit]]&lt;&gt;0,Table1[[#This Row],[Gross Profit]]/Table1[[#This Row],[Revenue]],"")</f>
        <v>0.79482993197278906</v>
      </c>
      <c r="M195" s="161">
        <v>2830</v>
      </c>
      <c r="N195" s="161">
        <v>91</v>
      </c>
      <c r="O195" s="161">
        <v>63</v>
      </c>
      <c r="P195" s="162">
        <v>91</v>
      </c>
      <c r="Q195" s="6">
        <f t="shared" si="7"/>
        <v>1.7142857142857144E-2</v>
      </c>
    </row>
    <row r="196" spans="2:17" x14ac:dyDescent="0.35">
      <c r="B196" s="157">
        <v>2023</v>
      </c>
      <c r="C196" s="158" t="s">
        <v>36</v>
      </c>
      <c r="D196" s="158" t="s">
        <v>46</v>
      </c>
      <c r="E196" s="158" t="s">
        <v>401</v>
      </c>
      <c r="F196" s="158" t="s">
        <v>388</v>
      </c>
      <c r="G196" s="159">
        <v>25</v>
      </c>
      <c r="H196" s="160" t="s">
        <v>402</v>
      </c>
      <c r="I196" s="161">
        <v>14720</v>
      </c>
      <c r="J196" s="161">
        <v>7410</v>
      </c>
      <c r="K196" s="161">
        <f t="shared" si="8"/>
        <v>7310</v>
      </c>
      <c r="L196" s="231">
        <f>IF(Table1[[#This Row],[Gross Profit]]&lt;&gt;0,Table1[[#This Row],[Gross Profit]]/Table1[[#This Row],[Revenue]],"")</f>
        <v>0.49660326086956524</v>
      </c>
      <c r="M196" s="161">
        <v>2503</v>
      </c>
      <c r="N196" s="161">
        <v>4808</v>
      </c>
      <c r="O196" s="161">
        <v>3259</v>
      </c>
      <c r="P196" s="162">
        <v>4655</v>
      </c>
      <c r="Q196" s="6">
        <f t="shared" si="7"/>
        <v>0.22139945652173912</v>
      </c>
    </row>
    <row r="197" spans="2:17" x14ac:dyDescent="0.35">
      <c r="B197" s="157">
        <v>2023</v>
      </c>
      <c r="C197" s="158" t="s">
        <v>36</v>
      </c>
      <c r="D197" s="158" t="s">
        <v>65</v>
      </c>
      <c r="E197" s="158" t="s">
        <v>403</v>
      </c>
      <c r="F197" s="158" t="s">
        <v>19</v>
      </c>
      <c r="G197" s="159">
        <v>150</v>
      </c>
      <c r="H197" s="160" t="s">
        <v>404</v>
      </c>
      <c r="I197" s="161">
        <v>6535</v>
      </c>
      <c r="J197" s="161">
        <v>2453</v>
      </c>
      <c r="K197" s="161">
        <f t="shared" si="8"/>
        <v>4082</v>
      </c>
      <c r="L197" s="231">
        <f>IF(Table1[[#This Row],[Gross Profit]]&lt;&gt;0,Table1[[#This Row],[Gross Profit]]/Table1[[#This Row],[Revenue]],"")</f>
        <v>0.62463657230298397</v>
      </c>
      <c r="M197" s="161">
        <v>4620</v>
      </c>
      <c r="N197" s="161">
        <v>-538</v>
      </c>
      <c r="O197" s="161">
        <v>-329</v>
      </c>
      <c r="P197" s="162">
        <v>0</v>
      </c>
      <c r="Q197" s="6">
        <f t="shared" si="7"/>
        <v>-5.0344299923488905E-2</v>
      </c>
    </row>
    <row r="198" spans="2:17" x14ac:dyDescent="0.35">
      <c r="B198" s="188">
        <v>2023</v>
      </c>
      <c r="C198" s="189" t="s">
        <v>36</v>
      </c>
      <c r="D198" s="189" t="s">
        <v>79</v>
      </c>
      <c r="E198" s="189" t="s">
        <v>405</v>
      </c>
      <c r="F198" s="189" t="s">
        <v>406</v>
      </c>
      <c r="G198" s="190">
        <v>25</v>
      </c>
      <c r="H198" s="191" t="s">
        <v>407</v>
      </c>
      <c r="I198" s="192">
        <v>4463</v>
      </c>
      <c r="J198" s="192">
        <v>1337</v>
      </c>
      <c r="K198" s="192">
        <f t="shared" si="8"/>
        <v>3126</v>
      </c>
      <c r="L198" s="232">
        <f>IF(Table1[[#This Row],[Gross Profit]]&lt;&gt;0,Table1[[#This Row],[Gross Profit]]/Table1[[#This Row],[Revenue]],"")</f>
        <v>0.70042572260811109</v>
      </c>
      <c r="M198" s="192">
        <v>2632</v>
      </c>
      <c r="N198" s="192">
        <v>494</v>
      </c>
      <c r="O198" s="192">
        <v>190</v>
      </c>
      <c r="P198" s="193">
        <v>272</v>
      </c>
      <c r="Q198" s="6">
        <f t="shared" si="7"/>
        <v>4.2572260811113601E-2</v>
      </c>
    </row>
    <row r="199" spans="2:17" x14ac:dyDescent="0.35">
      <c r="B199" s="172">
        <v>2023</v>
      </c>
      <c r="C199" s="173" t="s">
        <v>43</v>
      </c>
      <c r="D199" s="173" t="s">
        <v>17</v>
      </c>
      <c r="E199" s="173" t="s">
        <v>408</v>
      </c>
      <c r="F199" s="173" t="s">
        <v>326</v>
      </c>
      <c r="G199" s="174">
        <v>35</v>
      </c>
      <c r="H199" s="175" t="s">
        <v>409</v>
      </c>
      <c r="I199" s="176">
        <v>17527</v>
      </c>
      <c r="J199" s="176">
        <v>3279</v>
      </c>
      <c r="K199" s="176">
        <v>14248</v>
      </c>
      <c r="L199" s="233">
        <f>IF(Table1[[#This Row],[Gross Profit]]&lt;&gt;0,Table1[[#This Row],[Gross Profit]]/Table1[[#This Row],[Revenue]],"")</f>
        <v>0.81291721344211787</v>
      </c>
      <c r="M199" s="176">
        <v>4313</v>
      </c>
      <c r="N199" s="176">
        <v>9935</v>
      </c>
      <c r="O199" s="176">
        <v>6540</v>
      </c>
      <c r="P199" s="177">
        <v>8943</v>
      </c>
      <c r="Q199" s="169">
        <f t="shared" ref="Q199:Q207" si="9">IFERROR(O199/I199,0)</f>
        <v>0.37313858618132023</v>
      </c>
    </row>
    <row r="200" spans="2:17" x14ac:dyDescent="0.35">
      <c r="B200" s="170">
        <v>2023</v>
      </c>
      <c r="C200" s="178" t="s">
        <v>43</v>
      </c>
      <c r="D200" s="178" t="s">
        <v>21</v>
      </c>
      <c r="E200" s="178" t="s">
        <v>410</v>
      </c>
      <c r="F200" s="178" t="s">
        <v>329</v>
      </c>
      <c r="G200" s="179">
        <v>35</v>
      </c>
      <c r="H200" s="180" t="s">
        <v>411</v>
      </c>
      <c r="I200" s="181">
        <v>8851</v>
      </c>
      <c r="J200" s="181">
        <v>2284</v>
      </c>
      <c r="K200" s="181">
        <v>6567</v>
      </c>
      <c r="L200" s="234">
        <f>IF(Table1[[#This Row],[Gross Profit]]&lt;&gt;0,Table1[[#This Row],[Gross Profit]]/Table1[[#This Row],[Revenue]],"")</f>
        <v>0.74195006213987125</v>
      </c>
      <c r="M200" s="181">
        <v>3397</v>
      </c>
      <c r="N200" s="181">
        <v>3169</v>
      </c>
      <c r="O200" s="181">
        <v>2042</v>
      </c>
      <c r="P200" s="171">
        <v>3006</v>
      </c>
      <c r="Q200" s="169">
        <f t="shared" si="9"/>
        <v>0.23070839453169134</v>
      </c>
    </row>
    <row r="201" spans="2:17" x14ac:dyDescent="0.35">
      <c r="B201" s="170">
        <v>2023</v>
      </c>
      <c r="C201" s="178" t="s">
        <v>43</v>
      </c>
      <c r="D201" s="178" t="s">
        <v>25</v>
      </c>
      <c r="E201" s="178" t="s">
        <v>412</v>
      </c>
      <c r="F201" s="178" t="s">
        <v>391</v>
      </c>
      <c r="G201" s="179">
        <v>150</v>
      </c>
      <c r="H201" s="180" t="s">
        <v>413</v>
      </c>
      <c r="I201" s="181">
        <v>18173</v>
      </c>
      <c r="J201" s="181">
        <v>6525</v>
      </c>
      <c r="K201" s="181">
        <v>11648</v>
      </c>
      <c r="L201" s="234">
        <f>IF(Table1[[#This Row],[Gross Profit]]&lt;&gt;0,Table1[[#This Row],[Gross Profit]]/Table1[[#This Row],[Revenue]],"")</f>
        <v>0.64095086116766631</v>
      </c>
      <c r="M201" s="181">
        <v>5264</v>
      </c>
      <c r="N201" s="181">
        <v>6384</v>
      </c>
      <c r="O201" s="181">
        <v>4119</v>
      </c>
      <c r="P201" s="171">
        <v>6383</v>
      </c>
      <c r="Q201" s="169">
        <f t="shared" si="9"/>
        <v>0.22665492763990536</v>
      </c>
    </row>
    <row r="202" spans="2:17" x14ac:dyDescent="0.35">
      <c r="B202" s="170">
        <v>2023</v>
      </c>
      <c r="C202" s="178" t="s">
        <v>43</v>
      </c>
      <c r="D202" s="178" t="s">
        <v>29</v>
      </c>
      <c r="E202" s="178" t="s">
        <v>414</v>
      </c>
      <c r="F202" s="178" t="s">
        <v>97</v>
      </c>
      <c r="G202" s="179">
        <v>35</v>
      </c>
      <c r="H202" s="180" t="s">
        <v>415</v>
      </c>
      <c r="I202" s="181">
        <v>9622</v>
      </c>
      <c r="J202" s="181">
        <v>2709</v>
      </c>
      <c r="K202" s="181">
        <v>6913</v>
      </c>
      <c r="L202" s="234">
        <f>IF(Table1[[#This Row],[Gross Profit]]&lt;&gt;0,Table1[[#This Row],[Gross Profit]]/Table1[[#This Row],[Revenue]],"")</f>
        <v>0.71845770110164209</v>
      </c>
      <c r="M202" s="181">
        <v>5336</v>
      </c>
      <c r="N202" s="181">
        <v>1577</v>
      </c>
      <c r="O202" s="181">
        <v>220</v>
      </c>
      <c r="P202" s="171">
        <v>500</v>
      </c>
      <c r="Q202" s="169">
        <f t="shared" si="9"/>
        <v>2.2864269382664726E-2</v>
      </c>
    </row>
    <row r="203" spans="2:17" x14ac:dyDescent="0.35">
      <c r="B203" s="170">
        <v>2023</v>
      </c>
      <c r="C203" s="178" t="s">
        <v>43</v>
      </c>
      <c r="D203" s="178" t="s">
        <v>31</v>
      </c>
      <c r="E203" s="178" t="s">
        <v>416</v>
      </c>
      <c r="F203" s="178" t="s">
        <v>329</v>
      </c>
      <c r="G203" s="179">
        <v>35</v>
      </c>
      <c r="H203" s="180" t="s">
        <v>417</v>
      </c>
      <c r="I203" s="181">
        <v>11223</v>
      </c>
      <c r="J203" s="181">
        <v>3469</v>
      </c>
      <c r="K203" s="181">
        <v>7754</v>
      </c>
      <c r="L203" s="234">
        <f>IF(Table1[[#This Row],[Gross Profit]]&lt;&gt;0,Table1[[#This Row],[Gross Profit]]/Table1[[#This Row],[Revenue]],"")</f>
        <v>0.6909026107101488</v>
      </c>
      <c r="M203" s="181">
        <v>3795</v>
      </c>
      <c r="N203" s="181">
        <v>3959</v>
      </c>
      <c r="O203" s="181">
        <v>2699</v>
      </c>
      <c r="P203" s="171">
        <v>3947</v>
      </c>
      <c r="Q203" s="169">
        <f t="shared" si="9"/>
        <v>0.24048828299028779</v>
      </c>
    </row>
    <row r="204" spans="2:17" x14ac:dyDescent="0.35">
      <c r="B204" s="170">
        <v>2023</v>
      </c>
      <c r="C204" s="178" t="s">
        <v>43</v>
      </c>
      <c r="D204" s="178" t="s">
        <v>32</v>
      </c>
      <c r="E204" s="178" t="s">
        <v>418</v>
      </c>
      <c r="F204" s="178" t="s">
        <v>117</v>
      </c>
      <c r="G204" s="179">
        <v>35</v>
      </c>
      <c r="H204" s="180" t="s">
        <v>419</v>
      </c>
      <c r="I204" s="181">
        <v>8808</v>
      </c>
      <c r="J204" s="181">
        <v>3451</v>
      </c>
      <c r="K204" s="181">
        <v>5357</v>
      </c>
      <c r="L204" s="234">
        <f>IF(Table1[[#This Row],[Gross Profit]]&lt;&gt;0,Table1[[#This Row],[Gross Profit]]/Table1[[#This Row],[Revenue]],"")</f>
        <v>0.60819709355131701</v>
      </c>
      <c r="M204" s="181">
        <v>3446</v>
      </c>
      <c r="N204" s="181">
        <v>1911</v>
      </c>
      <c r="O204" s="181">
        <v>1114</v>
      </c>
      <c r="P204" s="171">
        <v>1797</v>
      </c>
      <c r="Q204" s="169">
        <f t="shared" si="9"/>
        <v>0.12647593097184379</v>
      </c>
    </row>
    <row r="205" spans="2:17" x14ac:dyDescent="0.35">
      <c r="B205" s="170">
        <v>2023</v>
      </c>
      <c r="C205" s="178" t="s">
        <v>43</v>
      </c>
      <c r="D205" s="178" t="s">
        <v>46</v>
      </c>
      <c r="E205" s="178" t="s">
        <v>420</v>
      </c>
      <c r="F205" s="178" t="s">
        <v>19</v>
      </c>
      <c r="G205" s="179">
        <v>150</v>
      </c>
      <c r="H205" s="180" t="s">
        <v>421</v>
      </c>
      <c r="I205" s="181">
        <v>16491</v>
      </c>
      <c r="J205" s="181">
        <v>5397</v>
      </c>
      <c r="K205" s="181">
        <v>10848</v>
      </c>
      <c r="L205" s="234">
        <f>IF(Table1[[#This Row],[Gross Profit]]&lt;&gt;0,Table1[[#This Row],[Gross Profit]]/Table1[[#This Row],[Revenue]],"")</f>
        <v>0.65781335273785702</v>
      </c>
      <c r="M205" s="181">
        <v>6060</v>
      </c>
      <c r="N205" s="181">
        <v>4789</v>
      </c>
      <c r="O205" s="181">
        <v>2162</v>
      </c>
      <c r="P205" s="171">
        <v>3000</v>
      </c>
      <c r="Q205" s="169">
        <f t="shared" si="9"/>
        <v>0.13110181311018132</v>
      </c>
    </row>
    <row r="206" spans="2:17" x14ac:dyDescent="0.35">
      <c r="B206" s="170">
        <v>2023</v>
      </c>
      <c r="C206" s="178" t="s">
        <v>43</v>
      </c>
      <c r="D206" s="178" t="s">
        <v>65</v>
      </c>
      <c r="E206" s="178" t="s">
        <v>422</v>
      </c>
      <c r="F206" s="178" t="s">
        <v>97</v>
      </c>
      <c r="G206" s="179">
        <v>35</v>
      </c>
      <c r="H206" s="180" t="s">
        <v>423</v>
      </c>
      <c r="I206" s="181">
        <v>6220</v>
      </c>
      <c r="J206" s="181">
        <v>1491</v>
      </c>
      <c r="K206" s="181">
        <v>4276</v>
      </c>
      <c r="L206" s="234">
        <f>IF(Table1[[#This Row],[Gross Profit]]&lt;&gt;0,Table1[[#This Row],[Gross Profit]]/Table1[[#This Row],[Revenue]],"")</f>
        <v>0.68745980707395493</v>
      </c>
      <c r="M206" s="181">
        <v>1300</v>
      </c>
      <c r="N206" s="181">
        <v>-1283</v>
      </c>
      <c r="O206" s="181">
        <v>-1069</v>
      </c>
      <c r="P206" s="171">
        <v>23</v>
      </c>
      <c r="Q206" s="169">
        <f t="shared" si="9"/>
        <v>-0.17186495176848873</v>
      </c>
    </row>
    <row r="207" spans="2:17" x14ac:dyDescent="0.35">
      <c r="B207" s="182">
        <v>2023</v>
      </c>
      <c r="C207" s="183" t="s">
        <v>43</v>
      </c>
      <c r="D207" s="183" t="s">
        <v>79</v>
      </c>
      <c r="E207" s="183" t="s">
        <v>424</v>
      </c>
      <c r="F207" s="183" t="s">
        <v>326</v>
      </c>
      <c r="G207" s="184">
        <v>35</v>
      </c>
      <c r="H207" s="185" t="s">
        <v>425</v>
      </c>
      <c r="I207" s="186">
        <v>4544</v>
      </c>
      <c r="J207" s="186">
        <v>1799</v>
      </c>
      <c r="K207" s="186">
        <v>2673</v>
      </c>
      <c r="L207" s="235">
        <f>IF(Table1[[#This Row],[Gross Profit]]&lt;&gt;0,Table1[[#This Row],[Gross Profit]]/Table1[[#This Row],[Revenue]],"")</f>
        <v>0.58824823943661975</v>
      </c>
      <c r="M207" s="186">
        <v>2936</v>
      </c>
      <c r="N207" s="186">
        <v>-263</v>
      </c>
      <c r="O207" s="186">
        <v>-542</v>
      </c>
      <c r="P207" s="187">
        <v>0</v>
      </c>
      <c r="Q207" s="169">
        <f t="shared" si="9"/>
        <v>-0.1192781690140845</v>
      </c>
    </row>
    <row r="209" spans="9:15" x14ac:dyDescent="0.35">
      <c r="I209" s="197">
        <f>MAX(I13:I207)</f>
        <v>38186</v>
      </c>
      <c r="O209" s="197">
        <f>MAX(O4:O207)</f>
        <v>9213</v>
      </c>
    </row>
  </sheetData>
  <mergeCells count="2">
    <mergeCell ref="A1:E1"/>
    <mergeCell ref="R9:S9"/>
  </mergeCells>
  <conditionalFormatting sqref="Q3:Q207">
    <cfRule type="cellIs" dxfId="9" priority="1" operator="lessThan">
      <formula>0</formula>
    </cfRule>
  </conditionalFormatting>
  <dataValidations count="4">
    <dataValidation type="list" allowBlank="1" showInputMessage="1" showErrorMessage="1" sqref="F182:F189" xr:uid="{DF9ADC2A-BC7A-411D-A56A-F1710949A52F}">
      <formula1>$S$30:$S$48</formula1>
    </dataValidation>
    <dataValidation type="list" allowBlank="1" showInputMessage="1" showErrorMessage="1" sqref="D182:D189" xr:uid="{6F682BBC-0A7F-4E84-AEA3-4E2E290B07E2}">
      <formula1>"A,B,C,D,E,F,G,H,I,J,K,L"</formula1>
    </dataValidation>
    <dataValidation type="list" allowBlank="1" showInputMessage="1" showErrorMessage="1" sqref="B182:B198" xr:uid="{B3A8FA8F-10E2-4F22-84C3-3719FC58C3F1}">
      <formula1>"2023,2024,2025,2026,2027,2028,2029,2030"</formula1>
    </dataValidation>
    <dataValidation type="list" allowBlank="1" showInputMessage="1" showErrorMessage="1" sqref="C182:C189" xr:uid="{4E4A810F-B05E-43B7-9261-ED5CAE27CFD8}">
      <formula1>"Winter,Spring,Fall"</formula1>
    </dataValidation>
  </dataValidation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DEDA59-BF91-420A-99AF-707CDC1469C7}">
  <sheetPr codeName="Sheet9"/>
  <dimension ref="A1:J16"/>
  <sheetViews>
    <sheetView showGridLines="0" zoomScaleNormal="100" workbookViewId="0">
      <selection activeCell="A5" sqref="A5:XFD5"/>
    </sheetView>
  </sheetViews>
  <sheetFormatPr defaultColWidth="0" defaultRowHeight="14.5" zeroHeight="1" x14ac:dyDescent="0.35"/>
  <cols>
    <col min="1" max="1" width="3.26953125" customWidth="1"/>
    <col min="2" max="9" width="20.7265625" customWidth="1"/>
    <col min="10" max="10" width="3.26953125" customWidth="1"/>
    <col min="11" max="16384" width="8.81640625" hidden="1"/>
  </cols>
  <sheetData>
    <row r="1" spans="2:10" x14ac:dyDescent="0.35"/>
    <row r="2" spans="2:10" ht="23.5" x14ac:dyDescent="0.55000000000000004">
      <c r="B2" s="80" t="s">
        <v>426</v>
      </c>
      <c r="C2" s="80"/>
      <c r="D2" s="80"/>
      <c r="E2" s="80"/>
      <c r="F2" s="80"/>
      <c r="G2" s="80"/>
      <c r="H2" s="80"/>
      <c r="I2" s="80"/>
      <c r="J2" s="80"/>
    </row>
    <row r="3" spans="2:10" x14ac:dyDescent="0.35">
      <c r="B3" s="81" t="s">
        <v>427</v>
      </c>
    </row>
    <row r="4" spans="2:10" x14ac:dyDescent="0.35"/>
    <row r="5" spans="2:10" ht="29" x14ac:dyDescent="0.35">
      <c r="B5" s="92" t="s">
        <v>1</v>
      </c>
      <c r="C5" s="79" t="s">
        <v>428</v>
      </c>
      <c r="D5" s="79" t="s">
        <v>429</v>
      </c>
      <c r="E5" s="79" t="s">
        <v>430</v>
      </c>
      <c r="F5" s="79" t="s">
        <v>431</v>
      </c>
      <c r="G5" s="79" t="s">
        <v>432</v>
      </c>
      <c r="H5" s="79" t="s">
        <v>433</v>
      </c>
      <c r="I5" s="79" t="s">
        <v>434</v>
      </c>
    </row>
    <row r="6" spans="2:10" x14ac:dyDescent="0.35">
      <c r="B6" s="90">
        <v>2015</v>
      </c>
      <c r="C6" s="91">
        <v>11387</v>
      </c>
      <c r="D6" s="91">
        <v>6008.5</v>
      </c>
      <c r="E6" s="91">
        <v>6941.25</v>
      </c>
      <c r="F6" s="91">
        <v>5620.75</v>
      </c>
      <c r="G6" s="91">
        <v>1318.25</v>
      </c>
      <c r="H6" s="91">
        <v>1400.4</v>
      </c>
      <c r="I6" s="91">
        <v>1911</v>
      </c>
    </row>
    <row r="7" spans="2:10" x14ac:dyDescent="0.35">
      <c r="B7" s="90">
        <v>2016</v>
      </c>
      <c r="C7" s="91">
        <v>11664.173913043478</v>
      </c>
      <c r="D7" s="91">
        <v>4761.782608695652</v>
      </c>
      <c r="E7" s="91">
        <v>6868.869565217391</v>
      </c>
      <c r="F7" s="91">
        <v>6106.304347826087</v>
      </c>
      <c r="G7" s="91">
        <v>1004.695652173913</v>
      </c>
      <c r="H7" s="91">
        <v>404.21739130434781</v>
      </c>
      <c r="I7" s="91">
        <v>3723.375</v>
      </c>
    </row>
    <row r="8" spans="2:10" x14ac:dyDescent="0.35">
      <c r="B8" s="90">
        <v>2017</v>
      </c>
      <c r="C8" s="91">
        <v>11942.619047619048</v>
      </c>
      <c r="D8" s="91">
        <v>4934.0952380952385</v>
      </c>
      <c r="E8" s="91">
        <v>7012.2857142857147</v>
      </c>
      <c r="F8" s="91">
        <v>5453.2380952380954</v>
      </c>
      <c r="G8" s="91">
        <v>1558.952380952381</v>
      </c>
      <c r="H8" s="91">
        <v>1036.4761904761904</v>
      </c>
      <c r="I8" s="91"/>
    </row>
    <row r="9" spans="2:10" x14ac:dyDescent="0.35">
      <c r="B9" s="90">
        <v>2018</v>
      </c>
      <c r="C9" s="91">
        <v>8811.5217391304341</v>
      </c>
      <c r="D9" s="91">
        <v>3743.8260869565215</v>
      </c>
      <c r="E9" s="91">
        <v>4931</v>
      </c>
      <c r="F9" s="91">
        <v>4313.565217391304</v>
      </c>
      <c r="G9" s="91">
        <v>604.08695652173913</v>
      </c>
      <c r="H9" s="91">
        <v>333.3478260869565</v>
      </c>
      <c r="I9" s="91">
        <v>3561.086956521739</v>
      </c>
    </row>
    <row r="10" spans="2:10" x14ac:dyDescent="0.35">
      <c r="B10" s="90">
        <v>2019</v>
      </c>
      <c r="C10" s="91">
        <v>8114.16</v>
      </c>
      <c r="D10" s="91">
        <v>4014.4</v>
      </c>
      <c r="E10" s="91">
        <v>4096.24</v>
      </c>
      <c r="F10" s="91">
        <v>4972.16</v>
      </c>
      <c r="G10" s="91">
        <v>-875.96</v>
      </c>
      <c r="H10" s="91">
        <v>-519.64</v>
      </c>
      <c r="I10" s="91">
        <v>2890.68</v>
      </c>
    </row>
    <row r="11" spans="2:10" x14ac:dyDescent="0.35">
      <c r="B11" s="90">
        <v>2020</v>
      </c>
      <c r="C11" s="91">
        <v>3638.7777777777778</v>
      </c>
      <c r="D11" s="91">
        <v>1570.2777777777778</v>
      </c>
      <c r="E11" s="91">
        <v>2050.9444444444443</v>
      </c>
      <c r="F11" s="91">
        <v>2565.3333333333335</v>
      </c>
      <c r="G11" s="91">
        <v>-514.38888888888891</v>
      </c>
      <c r="H11" s="91">
        <v>-420.05555555555554</v>
      </c>
      <c r="I11" s="91">
        <v>698.66666666666663</v>
      </c>
    </row>
    <row r="12" spans="2:10" x14ac:dyDescent="0.35">
      <c r="B12" s="90">
        <v>2021</v>
      </c>
      <c r="C12" s="91">
        <v>4415.0337499999996</v>
      </c>
      <c r="D12" s="91">
        <v>1784.9166666666667</v>
      </c>
      <c r="E12" s="91">
        <v>3108.375</v>
      </c>
      <c r="F12" s="91">
        <v>2669.7916666666665</v>
      </c>
      <c r="G12" s="91">
        <v>438.45833333333331</v>
      </c>
      <c r="H12" s="91">
        <v>305.66666666666669</v>
      </c>
      <c r="I12" s="91">
        <v>886.625</v>
      </c>
    </row>
    <row r="13" spans="2:10" x14ac:dyDescent="0.35">
      <c r="B13" s="90">
        <v>2022</v>
      </c>
      <c r="C13" s="91">
        <v>7051</v>
      </c>
      <c r="D13" s="91">
        <v>2185.125</v>
      </c>
      <c r="E13" s="91">
        <v>4857.916666666667</v>
      </c>
      <c r="F13" s="91">
        <v>3826.2916666666665</v>
      </c>
      <c r="G13" s="91">
        <v>1034.875</v>
      </c>
      <c r="H13" s="91">
        <v>677.5</v>
      </c>
      <c r="I13" s="91">
        <v>1117.75</v>
      </c>
    </row>
    <row r="14" spans="2:10" x14ac:dyDescent="0.35">
      <c r="B14" s="90" t="s">
        <v>435</v>
      </c>
      <c r="C14" s="91">
        <v>8111.7043558282194</v>
      </c>
      <c r="D14" s="91">
        <v>3377.6851851851852</v>
      </c>
      <c r="E14" s="91">
        <v>4795.8888888888887</v>
      </c>
      <c r="F14" s="91">
        <v>4339.7777777777774</v>
      </c>
      <c r="G14" s="91">
        <v>488.98148148148147</v>
      </c>
      <c r="H14" s="91">
        <v>299.23926380368096</v>
      </c>
      <c r="I14" s="91">
        <v>2003.7258064516129</v>
      </c>
    </row>
    <row r="15" spans="2:10" x14ac:dyDescent="0.35"/>
    <row r="16" spans="2:10" x14ac:dyDescent="0.35"/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D07031-8CAA-4346-AACA-821DE621D9C5}">
  <sheetPr codeName="Sheet8"/>
  <dimension ref="A1:K16"/>
  <sheetViews>
    <sheetView showGridLines="0" tabSelected="1" workbookViewId="0">
      <selection activeCell="D2" sqref="D2"/>
    </sheetView>
  </sheetViews>
  <sheetFormatPr defaultColWidth="0" defaultRowHeight="14.5" zeroHeight="1" x14ac:dyDescent="0.35"/>
  <cols>
    <col min="1" max="1" width="3.26953125" customWidth="1"/>
    <col min="2" max="9" width="20.7265625" customWidth="1"/>
    <col min="10" max="10" width="3.26953125" customWidth="1"/>
    <col min="11" max="11" width="0" hidden="1" customWidth="1"/>
    <col min="12" max="16384" width="8.81640625" hidden="1"/>
  </cols>
  <sheetData>
    <row r="1" spans="2:10" x14ac:dyDescent="0.35"/>
    <row r="2" spans="2:10" ht="23.5" x14ac:dyDescent="0.55000000000000004">
      <c r="B2" s="80"/>
      <c r="C2" s="80"/>
      <c r="D2" s="80"/>
      <c r="E2" s="80"/>
      <c r="F2" s="80"/>
      <c r="G2" s="80"/>
      <c r="H2" s="80"/>
      <c r="I2" s="80"/>
      <c r="J2" s="80"/>
    </row>
    <row r="3" spans="2:10" x14ac:dyDescent="0.35">
      <c r="B3" s="81"/>
    </row>
    <row r="4" spans="2:10" x14ac:dyDescent="0.35"/>
    <row r="5" spans="2:10" ht="29" x14ac:dyDescent="0.35">
      <c r="B5" s="92" t="s">
        <v>1</v>
      </c>
      <c r="C5" s="79" t="s">
        <v>436</v>
      </c>
      <c r="D5" s="79" t="s">
        <v>437</v>
      </c>
      <c r="E5" s="79" t="s">
        <v>438</v>
      </c>
      <c r="F5" s="79" t="s">
        <v>439</v>
      </c>
      <c r="G5" s="79" t="s">
        <v>440</v>
      </c>
      <c r="H5" s="79" t="s">
        <v>441</v>
      </c>
      <c r="I5" s="79" t="s">
        <v>442</v>
      </c>
    </row>
    <row r="6" spans="2:10" x14ac:dyDescent="0.35">
      <c r="B6" s="90">
        <v>2015</v>
      </c>
      <c r="C6" s="91">
        <v>56935</v>
      </c>
      <c r="D6" s="91">
        <v>24034</v>
      </c>
      <c r="E6" s="91">
        <v>27765</v>
      </c>
      <c r="F6" s="91">
        <v>22483</v>
      </c>
      <c r="G6" s="91">
        <v>5273</v>
      </c>
      <c r="H6" s="91">
        <v>7002</v>
      </c>
      <c r="I6" s="91">
        <v>3822</v>
      </c>
    </row>
    <row r="7" spans="2:10" x14ac:dyDescent="0.35">
      <c r="B7" s="90">
        <v>2016</v>
      </c>
      <c r="C7" s="91">
        <v>268276</v>
      </c>
      <c r="D7" s="91">
        <v>109521</v>
      </c>
      <c r="E7" s="91">
        <v>157984</v>
      </c>
      <c r="F7" s="91">
        <v>140445</v>
      </c>
      <c r="G7" s="91">
        <v>23108</v>
      </c>
      <c r="H7" s="91">
        <v>9297</v>
      </c>
      <c r="I7" s="91">
        <v>29787</v>
      </c>
    </row>
    <row r="8" spans="2:10" x14ac:dyDescent="0.35">
      <c r="B8" s="90">
        <v>2017</v>
      </c>
      <c r="C8" s="91">
        <v>250795</v>
      </c>
      <c r="D8" s="91">
        <v>103616</v>
      </c>
      <c r="E8" s="91">
        <v>147258</v>
      </c>
      <c r="F8" s="91">
        <v>114518</v>
      </c>
      <c r="G8" s="91">
        <v>32738</v>
      </c>
      <c r="H8" s="91">
        <v>21766</v>
      </c>
      <c r="I8" s="91"/>
    </row>
    <row r="9" spans="2:10" x14ac:dyDescent="0.35">
      <c r="B9" s="90">
        <v>2018</v>
      </c>
      <c r="C9" s="91">
        <v>202665</v>
      </c>
      <c r="D9" s="91">
        <v>86108</v>
      </c>
      <c r="E9" s="91">
        <v>113413</v>
      </c>
      <c r="F9" s="91">
        <v>99212</v>
      </c>
      <c r="G9" s="91">
        <v>13894</v>
      </c>
      <c r="H9" s="91">
        <v>7667</v>
      </c>
      <c r="I9" s="91">
        <v>81905</v>
      </c>
    </row>
    <row r="10" spans="2:10" x14ac:dyDescent="0.35">
      <c r="B10" s="90">
        <v>2019</v>
      </c>
      <c r="C10" s="91">
        <v>202854</v>
      </c>
      <c r="D10" s="91">
        <v>100360</v>
      </c>
      <c r="E10" s="91">
        <v>102406</v>
      </c>
      <c r="F10" s="91">
        <v>124304</v>
      </c>
      <c r="G10" s="91">
        <v>-21899</v>
      </c>
      <c r="H10" s="91">
        <v>-12991</v>
      </c>
      <c r="I10" s="91">
        <v>72267</v>
      </c>
    </row>
    <row r="11" spans="2:10" x14ac:dyDescent="0.35">
      <c r="B11" s="90">
        <v>2020</v>
      </c>
      <c r="C11" s="91">
        <v>65498</v>
      </c>
      <c r="D11" s="91">
        <v>28265</v>
      </c>
      <c r="E11" s="91">
        <v>36917</v>
      </c>
      <c r="F11" s="91">
        <v>46176</v>
      </c>
      <c r="G11" s="91">
        <v>-9259</v>
      </c>
      <c r="H11" s="91">
        <v>-7561</v>
      </c>
      <c r="I11" s="91">
        <v>12576</v>
      </c>
    </row>
    <row r="12" spans="2:10" x14ac:dyDescent="0.35">
      <c r="B12" s="90">
        <v>2021</v>
      </c>
      <c r="C12" s="91">
        <v>105960.81</v>
      </c>
      <c r="D12" s="91">
        <v>42838</v>
      </c>
      <c r="E12" s="91">
        <v>74601</v>
      </c>
      <c r="F12" s="91">
        <v>64075</v>
      </c>
      <c r="G12" s="91">
        <v>10523</v>
      </c>
      <c r="H12" s="91">
        <v>7336</v>
      </c>
      <c r="I12" s="91">
        <v>21279</v>
      </c>
    </row>
    <row r="13" spans="2:10" x14ac:dyDescent="0.35">
      <c r="B13" s="90">
        <v>2022</v>
      </c>
      <c r="C13" s="91">
        <v>169224</v>
      </c>
      <c r="D13" s="91">
        <v>52443</v>
      </c>
      <c r="E13" s="91">
        <v>116590</v>
      </c>
      <c r="F13" s="91">
        <v>91831</v>
      </c>
      <c r="G13" s="91">
        <v>24837</v>
      </c>
      <c r="H13" s="91">
        <v>16260</v>
      </c>
      <c r="I13" s="91">
        <v>26826</v>
      </c>
    </row>
    <row r="14" spans="2:10" x14ac:dyDescent="0.35">
      <c r="B14" s="90" t="s">
        <v>435</v>
      </c>
      <c r="C14" s="91">
        <v>1322207.81</v>
      </c>
      <c r="D14" s="91">
        <v>547185</v>
      </c>
      <c r="E14" s="91">
        <v>776934</v>
      </c>
      <c r="F14" s="91">
        <v>703044</v>
      </c>
      <c r="G14" s="91">
        <v>79215</v>
      </c>
      <c r="H14" s="91">
        <v>48776</v>
      </c>
      <c r="I14" s="91">
        <v>248462</v>
      </c>
    </row>
    <row r="15" spans="2:10" x14ac:dyDescent="0.35"/>
    <row r="16" spans="2:10" x14ac:dyDescent="0.35"/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ED4A79-B08D-4511-AF90-A86C911684F5}">
  <sheetPr codeName="Sheet7"/>
  <dimension ref="A1:I47"/>
  <sheetViews>
    <sheetView showGridLines="0" workbookViewId="0">
      <selection activeCell="B1" sqref="B1:I2"/>
    </sheetView>
  </sheetViews>
  <sheetFormatPr defaultColWidth="0" defaultRowHeight="14.5" zeroHeight="1" x14ac:dyDescent="0.35"/>
  <cols>
    <col min="1" max="1" width="3.26953125" customWidth="1"/>
    <col min="2" max="8" width="20.7265625" customWidth="1"/>
    <col min="9" max="9" width="3.26953125" customWidth="1"/>
    <col min="10" max="16384" width="8.81640625" hidden="1"/>
  </cols>
  <sheetData>
    <row r="1" spans="2:8" x14ac:dyDescent="0.35"/>
    <row r="2" spans="2:8" ht="23.5" x14ac:dyDescent="0.55000000000000004">
      <c r="B2" s="81"/>
      <c r="C2" s="80"/>
      <c r="D2" s="80"/>
      <c r="E2" s="80"/>
      <c r="F2" s="80"/>
      <c r="G2" s="80"/>
      <c r="H2" s="80"/>
    </row>
    <row r="3" spans="2:8" ht="14.65" customHeight="1" x14ac:dyDescent="0.35">
      <c r="B3" s="92" t="s">
        <v>1</v>
      </c>
      <c r="C3" s="92" t="s">
        <v>436</v>
      </c>
      <c r="D3" s="79" t="s">
        <v>437</v>
      </c>
      <c r="E3" s="79" t="s">
        <v>438</v>
      </c>
      <c r="F3" s="79" t="s">
        <v>439</v>
      </c>
      <c r="G3" s="79" t="s">
        <v>440</v>
      </c>
      <c r="H3" s="79" t="s">
        <v>441</v>
      </c>
    </row>
    <row r="4" spans="2:8" ht="14.65" customHeight="1" x14ac:dyDescent="0.35">
      <c r="B4" s="90">
        <v>2015</v>
      </c>
      <c r="C4" s="91">
        <v>56935</v>
      </c>
      <c r="D4" s="91">
        <v>24034</v>
      </c>
      <c r="E4" s="91">
        <v>27765</v>
      </c>
      <c r="F4" s="91">
        <v>22483</v>
      </c>
      <c r="G4" s="91">
        <v>5273</v>
      </c>
      <c r="H4" s="91">
        <v>7002</v>
      </c>
    </row>
    <row r="5" spans="2:8" x14ac:dyDescent="0.35">
      <c r="B5" s="94" t="s">
        <v>43</v>
      </c>
      <c r="C5" s="91"/>
      <c r="D5" s="91"/>
      <c r="E5" s="91"/>
      <c r="F5" s="91"/>
      <c r="G5" s="91"/>
      <c r="H5" s="91"/>
    </row>
    <row r="6" spans="2:8" ht="14.65" customHeight="1" x14ac:dyDescent="0.35">
      <c r="B6" s="94" t="s">
        <v>36</v>
      </c>
      <c r="C6" s="91">
        <v>16625</v>
      </c>
      <c r="D6" s="91">
        <v>8353</v>
      </c>
      <c r="E6" s="91">
        <v>8272</v>
      </c>
      <c r="F6" s="91">
        <v>1809</v>
      </c>
      <c r="G6" s="91">
        <v>6462</v>
      </c>
      <c r="H6" s="91">
        <v>6462</v>
      </c>
    </row>
    <row r="7" spans="2:8" x14ac:dyDescent="0.35">
      <c r="B7" s="94" t="s">
        <v>16</v>
      </c>
      <c r="C7" s="91">
        <v>40310</v>
      </c>
      <c r="D7" s="91">
        <v>15681</v>
      </c>
      <c r="E7" s="91">
        <v>19493</v>
      </c>
      <c r="F7" s="91">
        <v>20674</v>
      </c>
      <c r="G7" s="91">
        <v>-1189</v>
      </c>
      <c r="H7" s="91">
        <v>540</v>
      </c>
    </row>
    <row r="8" spans="2:8" x14ac:dyDescent="0.35">
      <c r="B8" s="90">
        <v>2016</v>
      </c>
      <c r="C8" s="91">
        <v>268276</v>
      </c>
      <c r="D8" s="91">
        <v>109521</v>
      </c>
      <c r="E8" s="91">
        <v>157984</v>
      </c>
      <c r="F8" s="91">
        <v>140445</v>
      </c>
      <c r="G8" s="91">
        <v>23108</v>
      </c>
      <c r="H8" s="91">
        <v>9297</v>
      </c>
    </row>
    <row r="9" spans="2:8" x14ac:dyDescent="0.35">
      <c r="B9" s="94" t="s">
        <v>43</v>
      </c>
      <c r="C9" s="91">
        <v>83835</v>
      </c>
      <c r="D9" s="91">
        <v>35252</v>
      </c>
      <c r="E9" s="91">
        <v>48582</v>
      </c>
      <c r="F9" s="91">
        <v>48330</v>
      </c>
      <c r="G9" s="91">
        <v>432</v>
      </c>
      <c r="H9" s="91">
        <v>159</v>
      </c>
    </row>
    <row r="10" spans="2:8" x14ac:dyDescent="0.35">
      <c r="B10" s="94" t="s">
        <v>36</v>
      </c>
      <c r="C10" s="91">
        <v>84248</v>
      </c>
      <c r="D10" s="91">
        <v>28207</v>
      </c>
      <c r="E10" s="91">
        <v>55271</v>
      </c>
      <c r="F10" s="91">
        <v>47127</v>
      </c>
      <c r="G10" s="91">
        <v>8146</v>
      </c>
      <c r="H10" s="91">
        <v>3722</v>
      </c>
    </row>
    <row r="11" spans="2:8" x14ac:dyDescent="0.35">
      <c r="B11" s="94" t="s">
        <v>16</v>
      </c>
      <c r="C11" s="91">
        <v>100193</v>
      </c>
      <c r="D11" s="91">
        <v>46062</v>
      </c>
      <c r="E11" s="91">
        <v>54131</v>
      </c>
      <c r="F11" s="91">
        <v>44988</v>
      </c>
      <c r="G11" s="91">
        <v>14530</v>
      </c>
      <c r="H11" s="91">
        <v>5416</v>
      </c>
    </row>
    <row r="12" spans="2:8" ht="14.65" customHeight="1" x14ac:dyDescent="0.35">
      <c r="B12" s="90">
        <v>2017</v>
      </c>
      <c r="C12" s="91">
        <v>250795</v>
      </c>
      <c r="D12" s="91">
        <v>103616</v>
      </c>
      <c r="E12" s="91">
        <v>147258</v>
      </c>
      <c r="F12" s="91">
        <v>114518</v>
      </c>
      <c r="G12" s="91">
        <v>32738</v>
      </c>
      <c r="H12" s="91">
        <v>21766</v>
      </c>
    </row>
    <row r="13" spans="2:8" x14ac:dyDescent="0.35">
      <c r="B13" s="94" t="s">
        <v>43</v>
      </c>
      <c r="C13" s="91">
        <v>77400</v>
      </c>
      <c r="D13" s="91">
        <v>35977</v>
      </c>
      <c r="E13" s="91">
        <v>41423</v>
      </c>
      <c r="F13" s="91">
        <v>34552</v>
      </c>
      <c r="G13" s="91">
        <v>6871</v>
      </c>
      <c r="H13" s="91">
        <v>4307</v>
      </c>
    </row>
    <row r="14" spans="2:8" x14ac:dyDescent="0.35">
      <c r="B14" s="94" t="s">
        <v>36</v>
      </c>
      <c r="C14" s="91">
        <v>65240</v>
      </c>
      <c r="D14" s="91">
        <v>25639</v>
      </c>
      <c r="E14" s="91">
        <v>39604</v>
      </c>
      <c r="F14" s="91">
        <v>36044</v>
      </c>
      <c r="G14" s="91">
        <v>3560</v>
      </c>
      <c r="H14" s="91">
        <v>2028</v>
      </c>
    </row>
    <row r="15" spans="2:8" x14ac:dyDescent="0.35">
      <c r="B15" s="94" t="s">
        <v>16</v>
      </c>
      <c r="C15" s="91">
        <v>108155</v>
      </c>
      <c r="D15" s="91">
        <v>42000</v>
      </c>
      <c r="E15" s="91">
        <v>66231</v>
      </c>
      <c r="F15" s="91">
        <v>43922</v>
      </c>
      <c r="G15" s="91">
        <v>22307</v>
      </c>
      <c r="H15" s="91">
        <v>15431</v>
      </c>
    </row>
    <row r="16" spans="2:8" x14ac:dyDescent="0.35">
      <c r="B16" s="90">
        <v>2018</v>
      </c>
      <c r="C16" s="91">
        <v>202665</v>
      </c>
      <c r="D16" s="91">
        <v>86108</v>
      </c>
      <c r="E16" s="91">
        <v>113413</v>
      </c>
      <c r="F16" s="91">
        <v>99212</v>
      </c>
      <c r="G16" s="91">
        <v>13894</v>
      </c>
      <c r="H16" s="91">
        <v>7667</v>
      </c>
    </row>
    <row r="17" spans="2:8" x14ac:dyDescent="0.35">
      <c r="B17" s="94" t="s">
        <v>43</v>
      </c>
      <c r="C17" s="91">
        <v>82972</v>
      </c>
      <c r="D17" s="91">
        <v>31786</v>
      </c>
      <c r="E17" s="91">
        <v>51811</v>
      </c>
      <c r="F17" s="91">
        <v>31793</v>
      </c>
      <c r="G17" s="91">
        <v>17795</v>
      </c>
      <c r="H17" s="91">
        <v>12293</v>
      </c>
    </row>
    <row r="18" spans="2:8" x14ac:dyDescent="0.35">
      <c r="B18" s="94" t="s">
        <v>36</v>
      </c>
      <c r="C18" s="91">
        <v>39237</v>
      </c>
      <c r="D18" s="91">
        <v>19955</v>
      </c>
      <c r="E18" s="91">
        <v>19280</v>
      </c>
      <c r="F18" s="91">
        <v>30594</v>
      </c>
      <c r="G18" s="91">
        <v>-9399</v>
      </c>
      <c r="H18" s="91">
        <v>-8353</v>
      </c>
    </row>
    <row r="19" spans="2:8" x14ac:dyDescent="0.35">
      <c r="B19" s="94" t="s">
        <v>16</v>
      </c>
      <c r="C19" s="91">
        <v>80456</v>
      </c>
      <c r="D19" s="91">
        <v>34367</v>
      </c>
      <c r="E19" s="91">
        <v>42322</v>
      </c>
      <c r="F19" s="91">
        <v>36825</v>
      </c>
      <c r="G19" s="91">
        <v>5498</v>
      </c>
      <c r="H19" s="91">
        <v>3727</v>
      </c>
    </row>
    <row r="20" spans="2:8" x14ac:dyDescent="0.35">
      <c r="B20" s="90">
        <v>2019</v>
      </c>
      <c r="C20" s="91">
        <v>202854</v>
      </c>
      <c r="D20" s="91">
        <v>100360</v>
      </c>
      <c r="E20" s="91">
        <v>102406</v>
      </c>
      <c r="F20" s="91">
        <v>124304</v>
      </c>
      <c r="G20" s="91">
        <v>-21899</v>
      </c>
      <c r="H20" s="91">
        <v>-12991</v>
      </c>
    </row>
    <row r="21" spans="2:8" x14ac:dyDescent="0.35">
      <c r="B21" s="94" t="s">
        <v>43</v>
      </c>
      <c r="C21" s="91">
        <v>50105</v>
      </c>
      <c r="D21" s="91">
        <v>20257</v>
      </c>
      <c r="E21" s="91">
        <v>29759</v>
      </c>
      <c r="F21" s="91">
        <v>31577</v>
      </c>
      <c r="G21" s="91">
        <v>-1818</v>
      </c>
      <c r="H21" s="91">
        <v>-1619</v>
      </c>
    </row>
    <row r="22" spans="2:8" x14ac:dyDescent="0.35">
      <c r="B22" s="94" t="s">
        <v>36</v>
      </c>
      <c r="C22" s="91">
        <v>64893</v>
      </c>
      <c r="D22" s="91">
        <v>34660</v>
      </c>
      <c r="E22" s="91">
        <v>30233</v>
      </c>
      <c r="F22" s="91">
        <v>44703</v>
      </c>
      <c r="G22" s="91">
        <v>-14470</v>
      </c>
      <c r="H22" s="91">
        <v>-7047</v>
      </c>
    </row>
    <row r="23" spans="2:8" x14ac:dyDescent="0.35">
      <c r="B23" s="94" t="s">
        <v>16</v>
      </c>
      <c r="C23" s="91">
        <v>87856</v>
      </c>
      <c r="D23" s="91">
        <v>45443</v>
      </c>
      <c r="E23" s="91">
        <v>42414</v>
      </c>
      <c r="F23" s="91">
        <v>48024</v>
      </c>
      <c r="G23" s="91">
        <v>-5611</v>
      </c>
      <c r="H23" s="91">
        <v>-4325</v>
      </c>
    </row>
    <row r="24" spans="2:8" x14ac:dyDescent="0.35">
      <c r="B24" s="90">
        <v>2020</v>
      </c>
      <c r="C24" s="91">
        <v>65498</v>
      </c>
      <c r="D24" s="91">
        <v>28265</v>
      </c>
      <c r="E24" s="91">
        <v>36917</v>
      </c>
      <c r="F24" s="91">
        <v>46176</v>
      </c>
      <c r="G24" s="91">
        <v>-9259</v>
      </c>
      <c r="H24" s="91">
        <v>-7561</v>
      </c>
    </row>
    <row r="25" spans="2:8" x14ac:dyDescent="0.35">
      <c r="B25" s="94" t="s">
        <v>43</v>
      </c>
      <c r="C25" s="91">
        <v>33345</v>
      </c>
      <c r="D25" s="91">
        <v>12367</v>
      </c>
      <c r="E25" s="91">
        <v>20310</v>
      </c>
      <c r="F25" s="91">
        <v>20478</v>
      </c>
      <c r="G25" s="91">
        <v>-167</v>
      </c>
      <c r="H25" s="91">
        <v>-651</v>
      </c>
    </row>
    <row r="26" spans="2:8" x14ac:dyDescent="0.35">
      <c r="B26" s="94" t="s">
        <v>36</v>
      </c>
      <c r="C26" s="91">
        <v>3436</v>
      </c>
      <c r="D26" s="91">
        <v>2533</v>
      </c>
      <c r="E26" s="91">
        <v>904</v>
      </c>
      <c r="F26" s="91">
        <v>2740</v>
      </c>
      <c r="G26" s="91">
        <v>-1836</v>
      </c>
      <c r="H26" s="91">
        <v>-1430</v>
      </c>
    </row>
    <row r="27" spans="2:8" x14ac:dyDescent="0.35">
      <c r="B27" s="94" t="s">
        <v>16</v>
      </c>
      <c r="C27" s="91">
        <v>28717</v>
      </c>
      <c r="D27" s="91">
        <v>13365</v>
      </c>
      <c r="E27" s="91">
        <v>15703</v>
      </c>
      <c r="F27" s="91">
        <v>22958</v>
      </c>
      <c r="G27" s="91">
        <v>-7256</v>
      </c>
      <c r="H27" s="91">
        <v>-5480</v>
      </c>
    </row>
    <row r="28" spans="2:8" x14ac:dyDescent="0.35">
      <c r="B28" s="90">
        <v>2021</v>
      </c>
      <c r="C28" s="91">
        <v>105960.81</v>
      </c>
      <c r="D28" s="91">
        <v>42838</v>
      </c>
      <c r="E28" s="91">
        <v>74601</v>
      </c>
      <c r="F28" s="91">
        <v>64075</v>
      </c>
      <c r="G28" s="91">
        <v>10523</v>
      </c>
      <c r="H28" s="91">
        <v>7336</v>
      </c>
    </row>
    <row r="29" spans="2:8" x14ac:dyDescent="0.35">
      <c r="B29" s="94" t="s">
        <v>43</v>
      </c>
      <c r="C29" s="91">
        <v>49324.810000000005</v>
      </c>
      <c r="D29" s="91">
        <v>23599</v>
      </c>
      <c r="E29" s="91">
        <v>37229</v>
      </c>
      <c r="F29" s="91">
        <v>29719</v>
      </c>
      <c r="G29" s="91">
        <v>7509</v>
      </c>
      <c r="H29" s="91">
        <v>4119</v>
      </c>
    </row>
    <row r="30" spans="2:8" x14ac:dyDescent="0.35">
      <c r="B30" s="94" t="s">
        <v>36</v>
      </c>
      <c r="C30" s="91">
        <v>26881</v>
      </c>
      <c r="D30" s="91">
        <v>8584</v>
      </c>
      <c r="E30" s="91">
        <v>18272</v>
      </c>
      <c r="F30" s="91">
        <v>19451</v>
      </c>
      <c r="G30" s="91">
        <v>-1180</v>
      </c>
      <c r="H30" s="91">
        <v>-1509</v>
      </c>
    </row>
    <row r="31" spans="2:8" x14ac:dyDescent="0.35">
      <c r="B31" s="94" t="s">
        <v>16</v>
      </c>
      <c r="C31" s="91">
        <v>29755</v>
      </c>
      <c r="D31" s="91">
        <v>10655</v>
      </c>
      <c r="E31" s="91">
        <v>19100</v>
      </c>
      <c r="F31" s="91">
        <v>14905</v>
      </c>
      <c r="G31" s="91">
        <v>4194</v>
      </c>
      <c r="H31" s="91">
        <v>4726</v>
      </c>
    </row>
    <row r="32" spans="2:8" x14ac:dyDescent="0.35">
      <c r="B32" s="90">
        <v>2022</v>
      </c>
      <c r="C32" s="91">
        <v>169224</v>
      </c>
      <c r="D32" s="91">
        <v>52443</v>
      </c>
      <c r="E32" s="91">
        <v>116590</v>
      </c>
      <c r="F32" s="91">
        <v>91831</v>
      </c>
      <c r="G32" s="91">
        <v>24837</v>
      </c>
      <c r="H32" s="91">
        <v>16260</v>
      </c>
    </row>
    <row r="33" spans="2:8" x14ac:dyDescent="0.35">
      <c r="B33" s="94" t="s">
        <v>43</v>
      </c>
      <c r="C33" s="91">
        <v>56617</v>
      </c>
      <c r="D33" s="91">
        <v>15671</v>
      </c>
      <c r="E33" s="91">
        <v>40945</v>
      </c>
      <c r="F33" s="91">
        <v>30225</v>
      </c>
      <c r="G33" s="91">
        <v>10680</v>
      </c>
      <c r="H33" s="91">
        <v>6807</v>
      </c>
    </row>
    <row r="34" spans="2:8" x14ac:dyDescent="0.35">
      <c r="B34" s="94" t="s">
        <v>36</v>
      </c>
      <c r="C34" s="91">
        <v>46818</v>
      </c>
      <c r="D34" s="91">
        <v>17300</v>
      </c>
      <c r="E34" s="91">
        <v>29518</v>
      </c>
      <c r="F34" s="91">
        <v>24770</v>
      </c>
      <c r="G34" s="91">
        <v>4865</v>
      </c>
      <c r="H34" s="91">
        <v>3037</v>
      </c>
    </row>
    <row r="35" spans="2:8" x14ac:dyDescent="0.35">
      <c r="B35" s="94" t="s">
        <v>16</v>
      </c>
      <c r="C35" s="91">
        <v>65789</v>
      </c>
      <c r="D35" s="91">
        <v>19472</v>
      </c>
      <c r="E35" s="91">
        <v>46127</v>
      </c>
      <c r="F35" s="91">
        <v>36836</v>
      </c>
      <c r="G35" s="91">
        <v>9292</v>
      </c>
      <c r="H35" s="91">
        <v>6416</v>
      </c>
    </row>
    <row r="36" spans="2:8" x14ac:dyDescent="0.35">
      <c r="B36" s="90" t="s">
        <v>435</v>
      </c>
      <c r="C36" s="91">
        <v>1322207.81</v>
      </c>
      <c r="D36" s="91">
        <v>547185</v>
      </c>
      <c r="E36" s="91">
        <v>776934</v>
      </c>
      <c r="F36" s="91">
        <v>703044</v>
      </c>
      <c r="G36" s="91">
        <v>79215</v>
      </c>
      <c r="H36" s="91">
        <v>48776</v>
      </c>
    </row>
    <row r="37" spans="2:8" x14ac:dyDescent="0.35"/>
    <row r="38" spans="2:8" x14ac:dyDescent="0.35"/>
    <row r="39" spans="2:8" x14ac:dyDescent="0.35"/>
    <row r="40" spans="2:8" x14ac:dyDescent="0.35"/>
    <row r="41" spans="2:8" x14ac:dyDescent="0.35"/>
    <row r="42" spans="2:8" x14ac:dyDescent="0.35"/>
    <row r="43" spans="2:8" x14ac:dyDescent="0.35"/>
    <row r="44" spans="2:8" x14ac:dyDescent="0.35"/>
    <row r="45" spans="2:8" x14ac:dyDescent="0.35"/>
    <row r="46" spans="2:8" x14ac:dyDescent="0.35"/>
    <row r="47" spans="2:8" x14ac:dyDescent="0.35"/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F7A4E4-4737-4F91-8CE6-005E00E66769}">
  <dimension ref="A2:G6"/>
  <sheetViews>
    <sheetView workbookViewId="0">
      <selection activeCell="C11" sqref="C11"/>
    </sheetView>
  </sheetViews>
  <sheetFormatPr defaultRowHeight="14.5" x14ac:dyDescent="0.35"/>
  <sheetData>
    <row r="2" spans="1:7" ht="58" x14ac:dyDescent="0.35">
      <c r="A2" s="93" t="s">
        <v>1</v>
      </c>
      <c r="B2" s="92" t="s">
        <v>428</v>
      </c>
      <c r="C2" s="79" t="s">
        <v>429</v>
      </c>
      <c r="D2" s="79" t="s">
        <v>430</v>
      </c>
      <c r="E2" s="79" t="s">
        <v>431</v>
      </c>
      <c r="F2" s="79" t="s">
        <v>432</v>
      </c>
      <c r="G2" s="79" t="s">
        <v>434</v>
      </c>
    </row>
    <row r="3" spans="1:7" x14ac:dyDescent="0.35">
      <c r="A3" s="90" t="s">
        <v>43</v>
      </c>
      <c r="B3" s="91">
        <v>7883.6147272727276</v>
      </c>
      <c r="C3" s="91">
        <v>3180.1636363636362</v>
      </c>
      <c r="D3" s="91">
        <v>4910.1636363636362</v>
      </c>
      <c r="E3" s="91">
        <v>4121.3454545454542</v>
      </c>
      <c r="F3" s="91">
        <v>750.9454545454546</v>
      </c>
      <c r="G3" s="91">
        <v>2289.4791666666665</v>
      </c>
    </row>
    <row r="4" spans="1:7" x14ac:dyDescent="0.35">
      <c r="A4" s="90" t="s">
        <v>36</v>
      </c>
      <c r="B4" s="91">
        <v>7551.695652173913</v>
      </c>
      <c r="C4" s="91">
        <v>3157.195652173913</v>
      </c>
      <c r="D4" s="91">
        <v>4377.260869565217</v>
      </c>
      <c r="E4" s="91">
        <v>4505.173913043478</v>
      </c>
      <c r="F4" s="91">
        <v>-83.739130434782609</v>
      </c>
      <c r="G4" s="91">
        <v>1257.8181818181818</v>
      </c>
    </row>
    <row r="5" spans="1:7" x14ac:dyDescent="0.35">
      <c r="A5" s="90" t="s">
        <v>16</v>
      </c>
      <c r="B5" s="91">
        <v>8729.532258064517</v>
      </c>
      <c r="C5" s="91">
        <v>3722.0491803278687</v>
      </c>
      <c r="D5" s="91">
        <v>5008.5409836065573</v>
      </c>
      <c r="E5" s="91">
        <v>4412</v>
      </c>
      <c r="F5" s="91">
        <v>684.67213114754099</v>
      </c>
      <c r="G5" s="91">
        <v>2257.1860465116279</v>
      </c>
    </row>
    <row r="6" spans="1:7" x14ac:dyDescent="0.35">
      <c r="A6" s="90" t="s">
        <v>435</v>
      </c>
      <c r="B6" s="91">
        <v>8111.7043558282212</v>
      </c>
      <c r="C6" s="91">
        <v>3377.6851851851852</v>
      </c>
      <c r="D6" s="91">
        <v>4795.8888888888887</v>
      </c>
      <c r="E6" s="91">
        <v>4339.7777777777774</v>
      </c>
      <c r="F6" s="91">
        <v>488.98148148148147</v>
      </c>
      <c r="G6" s="91">
        <v>2003.7258064516129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373FD-2ADC-49A2-A78A-42441BBC07AD}">
  <sheetPr codeName="Sheet6"/>
  <dimension ref="A1:K114"/>
  <sheetViews>
    <sheetView showGridLines="0" topLeftCell="A75" workbookViewId="0">
      <selection activeCell="D1" sqref="D1:XFD1048576"/>
    </sheetView>
  </sheetViews>
  <sheetFormatPr defaultColWidth="0" defaultRowHeight="14.5" zeroHeight="1" x14ac:dyDescent="0.35"/>
  <cols>
    <col min="1" max="1" width="3.7265625" customWidth="1"/>
    <col min="2" max="2" width="17.54296875" bestFit="1" customWidth="1"/>
    <col min="3" max="3" width="22.81640625" bestFit="1" customWidth="1"/>
    <col min="12" max="16384" width="8.81640625" hidden="1"/>
  </cols>
  <sheetData>
    <row r="1" spans="2:3" x14ac:dyDescent="0.35"/>
    <row r="2" spans="2:3" ht="23.5" x14ac:dyDescent="0.55000000000000004">
      <c r="B2" s="80" t="s">
        <v>443</v>
      </c>
      <c r="C2" s="80"/>
    </row>
    <row r="3" spans="2:3" x14ac:dyDescent="0.35">
      <c r="B3" s="81" t="s">
        <v>444</v>
      </c>
    </row>
    <row r="4" spans="2:3" x14ac:dyDescent="0.35"/>
    <row r="5" spans="2:3" x14ac:dyDescent="0.35">
      <c r="B5" s="93" t="s">
        <v>5</v>
      </c>
      <c r="C5" t="s">
        <v>445</v>
      </c>
    </row>
    <row r="6" spans="2:3" x14ac:dyDescent="0.35">
      <c r="B6" t="s">
        <v>23</v>
      </c>
      <c r="C6" s="91">
        <v>-21451</v>
      </c>
    </row>
    <row r="7" spans="2:3" x14ac:dyDescent="0.35">
      <c r="B7" t="s">
        <v>49</v>
      </c>
      <c r="C7" s="91">
        <v>-4630</v>
      </c>
    </row>
    <row r="8" spans="2:3" x14ac:dyDescent="0.35">
      <c r="B8" t="s">
        <v>58</v>
      </c>
      <c r="C8" s="91">
        <v>-1632</v>
      </c>
    </row>
    <row r="9" spans="2:3" x14ac:dyDescent="0.35">
      <c r="B9" t="s">
        <v>62</v>
      </c>
      <c r="C9" s="91">
        <v>-785</v>
      </c>
    </row>
    <row r="10" spans="2:3" x14ac:dyDescent="0.35">
      <c r="B10" t="s">
        <v>341</v>
      </c>
      <c r="C10" s="91">
        <v>-571</v>
      </c>
    </row>
    <row r="11" spans="2:3" x14ac:dyDescent="0.35">
      <c r="B11" t="s">
        <v>166</v>
      </c>
      <c r="C11" s="91">
        <v>-408</v>
      </c>
    </row>
    <row r="12" spans="2:3" x14ac:dyDescent="0.35">
      <c r="B12" t="s">
        <v>196</v>
      </c>
      <c r="C12" s="91">
        <v>518</v>
      </c>
    </row>
    <row r="13" spans="2:3" x14ac:dyDescent="0.35">
      <c r="B13" t="s">
        <v>329</v>
      </c>
      <c r="C13" s="91">
        <v>860</v>
      </c>
    </row>
    <row r="14" spans="2:3" x14ac:dyDescent="0.35">
      <c r="B14" t="s">
        <v>34</v>
      </c>
      <c r="C14" s="91">
        <v>2411</v>
      </c>
    </row>
    <row r="15" spans="2:3" x14ac:dyDescent="0.35">
      <c r="B15" t="s">
        <v>304</v>
      </c>
      <c r="C15" s="91">
        <v>3710</v>
      </c>
    </row>
    <row r="16" spans="2:3" x14ac:dyDescent="0.35">
      <c r="B16" t="s">
        <v>263</v>
      </c>
      <c r="C16" s="91">
        <v>4282</v>
      </c>
    </row>
    <row r="17" spans="2:3" x14ac:dyDescent="0.35">
      <c r="B17" t="s">
        <v>83</v>
      </c>
      <c r="C17" s="91">
        <v>4285</v>
      </c>
    </row>
    <row r="18" spans="2:3" x14ac:dyDescent="0.35">
      <c r="B18" t="s">
        <v>97</v>
      </c>
      <c r="C18" s="91">
        <v>4381</v>
      </c>
    </row>
    <row r="19" spans="2:3" x14ac:dyDescent="0.35">
      <c r="B19" t="s">
        <v>117</v>
      </c>
      <c r="C19" s="91">
        <v>4521</v>
      </c>
    </row>
    <row r="20" spans="2:3" x14ac:dyDescent="0.35">
      <c r="B20" t="s">
        <v>326</v>
      </c>
      <c r="C20" s="91">
        <v>4524</v>
      </c>
    </row>
    <row r="21" spans="2:3" x14ac:dyDescent="0.35">
      <c r="B21" t="s">
        <v>446</v>
      </c>
      <c r="C21" s="91">
        <v>5837</v>
      </c>
    </row>
    <row r="22" spans="2:3" x14ac:dyDescent="0.35">
      <c r="B22" t="s">
        <v>114</v>
      </c>
      <c r="C22" s="91">
        <v>10744</v>
      </c>
    </row>
    <row r="23" spans="2:3" x14ac:dyDescent="0.35">
      <c r="B23" t="s">
        <v>19</v>
      </c>
      <c r="C23" s="91">
        <v>10801</v>
      </c>
    </row>
    <row r="24" spans="2:3" x14ac:dyDescent="0.35">
      <c r="B24" t="s">
        <v>27</v>
      </c>
      <c r="C24" s="91">
        <v>21379</v>
      </c>
    </row>
    <row r="25" spans="2:3" x14ac:dyDescent="0.35">
      <c r="B25" t="s">
        <v>435</v>
      </c>
      <c r="C25" s="91">
        <v>48776</v>
      </c>
    </row>
    <row r="26" spans="2:3" x14ac:dyDescent="0.35">
      <c r="C26" s="91"/>
    </row>
    <row r="27" spans="2:3" x14ac:dyDescent="0.35">
      <c r="B27" s="93" t="s">
        <v>5</v>
      </c>
      <c r="C27" t="s">
        <v>447</v>
      </c>
    </row>
    <row r="28" spans="2:3" x14ac:dyDescent="0.35">
      <c r="B28" t="s">
        <v>23</v>
      </c>
      <c r="C28" s="91">
        <v>-23680</v>
      </c>
    </row>
    <row r="29" spans="2:3" x14ac:dyDescent="0.35">
      <c r="B29" t="s">
        <v>58</v>
      </c>
      <c r="C29" s="91">
        <v>-2256</v>
      </c>
    </row>
    <row r="30" spans="2:3" x14ac:dyDescent="0.35">
      <c r="B30" t="s">
        <v>62</v>
      </c>
      <c r="C30" s="91">
        <v>-879</v>
      </c>
    </row>
    <row r="31" spans="2:3" x14ac:dyDescent="0.35">
      <c r="B31" t="s">
        <v>341</v>
      </c>
      <c r="C31" s="91">
        <v>-779</v>
      </c>
    </row>
    <row r="32" spans="2:3" x14ac:dyDescent="0.35">
      <c r="B32" t="s">
        <v>49</v>
      </c>
      <c r="C32" s="91">
        <v>-499</v>
      </c>
    </row>
    <row r="33" spans="2:3" x14ac:dyDescent="0.35">
      <c r="B33" t="s">
        <v>34</v>
      </c>
      <c r="C33" s="91"/>
    </row>
    <row r="34" spans="2:3" x14ac:dyDescent="0.35">
      <c r="B34" t="s">
        <v>196</v>
      </c>
      <c r="C34" s="91">
        <v>802</v>
      </c>
    </row>
    <row r="35" spans="2:3" x14ac:dyDescent="0.35">
      <c r="B35" t="s">
        <v>166</v>
      </c>
      <c r="C35" s="91">
        <v>1494</v>
      </c>
    </row>
    <row r="36" spans="2:3" x14ac:dyDescent="0.35">
      <c r="B36" t="s">
        <v>329</v>
      </c>
      <c r="C36" s="91">
        <v>1508</v>
      </c>
    </row>
    <row r="37" spans="2:3" x14ac:dyDescent="0.35">
      <c r="B37" t="s">
        <v>97</v>
      </c>
      <c r="C37" s="91">
        <v>2169</v>
      </c>
    </row>
    <row r="38" spans="2:3" x14ac:dyDescent="0.35">
      <c r="B38" t="s">
        <v>446</v>
      </c>
      <c r="C38" s="91">
        <v>5747</v>
      </c>
    </row>
    <row r="39" spans="2:3" x14ac:dyDescent="0.35">
      <c r="B39" t="s">
        <v>117</v>
      </c>
      <c r="C39" s="91">
        <v>5884</v>
      </c>
    </row>
    <row r="40" spans="2:3" x14ac:dyDescent="0.35">
      <c r="B40" t="s">
        <v>83</v>
      </c>
      <c r="C40" s="91">
        <v>6181</v>
      </c>
    </row>
    <row r="41" spans="2:3" x14ac:dyDescent="0.35">
      <c r="B41" t="s">
        <v>263</v>
      </c>
      <c r="C41" s="91">
        <v>6339</v>
      </c>
    </row>
    <row r="42" spans="2:3" x14ac:dyDescent="0.35">
      <c r="B42" t="s">
        <v>304</v>
      </c>
      <c r="C42" s="91">
        <v>6574</v>
      </c>
    </row>
    <row r="43" spans="2:3" x14ac:dyDescent="0.35">
      <c r="B43" t="s">
        <v>326</v>
      </c>
      <c r="C43" s="91">
        <v>6969</v>
      </c>
    </row>
    <row r="44" spans="2:3" x14ac:dyDescent="0.35">
      <c r="B44" t="s">
        <v>114</v>
      </c>
      <c r="C44" s="91">
        <v>15580</v>
      </c>
    </row>
    <row r="45" spans="2:3" x14ac:dyDescent="0.35">
      <c r="B45" t="s">
        <v>19</v>
      </c>
      <c r="C45" s="91">
        <v>16476</v>
      </c>
    </row>
    <row r="46" spans="2:3" x14ac:dyDescent="0.35">
      <c r="B46" t="s">
        <v>27</v>
      </c>
      <c r="C46" s="91">
        <v>31585</v>
      </c>
    </row>
    <row r="47" spans="2:3" x14ac:dyDescent="0.35">
      <c r="B47" t="s">
        <v>435</v>
      </c>
      <c r="C47" s="91">
        <v>79215</v>
      </c>
    </row>
    <row r="48" spans="2:3" x14ac:dyDescent="0.35"/>
    <row r="49" spans="2:3" x14ac:dyDescent="0.35">
      <c r="B49" s="93" t="s">
        <v>5</v>
      </c>
      <c r="C49" t="s">
        <v>448</v>
      </c>
    </row>
    <row r="50" spans="2:3" x14ac:dyDescent="0.35">
      <c r="B50" t="s">
        <v>27</v>
      </c>
      <c r="C50" s="91">
        <v>412322</v>
      </c>
    </row>
    <row r="51" spans="2:3" x14ac:dyDescent="0.35">
      <c r="B51" t="s">
        <v>19</v>
      </c>
      <c r="C51" s="91">
        <v>182560.72</v>
      </c>
    </row>
    <row r="52" spans="2:3" x14ac:dyDescent="0.35">
      <c r="B52" t="s">
        <v>97</v>
      </c>
      <c r="C52" s="91">
        <v>143570.21</v>
      </c>
    </row>
    <row r="53" spans="2:3" x14ac:dyDescent="0.35">
      <c r="B53" t="s">
        <v>49</v>
      </c>
      <c r="C53" s="91">
        <v>103657</v>
      </c>
    </row>
    <row r="54" spans="2:3" x14ac:dyDescent="0.35">
      <c r="B54" t="s">
        <v>23</v>
      </c>
      <c r="C54" s="91">
        <v>96786</v>
      </c>
    </row>
    <row r="55" spans="2:3" x14ac:dyDescent="0.35">
      <c r="B55" t="s">
        <v>263</v>
      </c>
      <c r="C55" s="91">
        <v>76963.149999999994</v>
      </c>
    </row>
    <row r="56" spans="2:3" x14ac:dyDescent="0.35">
      <c r="B56" t="s">
        <v>304</v>
      </c>
      <c r="C56" s="91">
        <v>70546.73</v>
      </c>
    </row>
    <row r="57" spans="2:3" x14ac:dyDescent="0.35">
      <c r="B57" t="s">
        <v>114</v>
      </c>
      <c r="C57" s="91">
        <v>53778</v>
      </c>
    </row>
    <row r="58" spans="2:3" x14ac:dyDescent="0.35">
      <c r="B58" t="s">
        <v>58</v>
      </c>
      <c r="C58" s="91">
        <v>31484</v>
      </c>
    </row>
    <row r="59" spans="2:3" x14ac:dyDescent="0.35">
      <c r="B59" t="s">
        <v>326</v>
      </c>
      <c r="C59" s="91">
        <v>31431</v>
      </c>
    </row>
    <row r="60" spans="2:3" x14ac:dyDescent="0.35">
      <c r="B60" t="s">
        <v>117</v>
      </c>
      <c r="C60" s="91">
        <v>28726</v>
      </c>
    </row>
    <row r="61" spans="2:3" x14ac:dyDescent="0.35">
      <c r="B61" t="s">
        <v>446</v>
      </c>
      <c r="C61" s="91">
        <v>20495</v>
      </c>
    </row>
    <row r="62" spans="2:3" x14ac:dyDescent="0.35">
      <c r="B62" t="s">
        <v>329</v>
      </c>
      <c r="C62" s="91">
        <v>15966</v>
      </c>
    </row>
    <row r="63" spans="2:3" x14ac:dyDescent="0.35">
      <c r="B63" t="s">
        <v>166</v>
      </c>
      <c r="C63" s="91">
        <v>13694</v>
      </c>
    </row>
    <row r="64" spans="2:3" x14ac:dyDescent="0.35">
      <c r="B64" t="s">
        <v>83</v>
      </c>
      <c r="C64" s="91">
        <v>13360</v>
      </c>
    </row>
    <row r="65" spans="2:3" x14ac:dyDescent="0.35">
      <c r="B65" t="s">
        <v>196</v>
      </c>
      <c r="C65" s="91">
        <v>11393</v>
      </c>
    </row>
    <row r="66" spans="2:3" x14ac:dyDescent="0.35">
      <c r="B66" t="s">
        <v>62</v>
      </c>
      <c r="C66" s="91">
        <v>8151</v>
      </c>
    </row>
    <row r="67" spans="2:3" x14ac:dyDescent="0.35">
      <c r="B67" t="s">
        <v>34</v>
      </c>
      <c r="C67" s="91">
        <v>5135</v>
      </c>
    </row>
    <row r="68" spans="2:3" x14ac:dyDescent="0.35">
      <c r="B68" t="s">
        <v>341</v>
      </c>
      <c r="C68" s="91">
        <v>2189</v>
      </c>
    </row>
    <row r="69" spans="2:3" x14ac:dyDescent="0.35">
      <c r="B69" t="s">
        <v>435</v>
      </c>
      <c r="C69" s="91">
        <v>1322207.81</v>
      </c>
    </row>
    <row r="70" spans="2:3" x14ac:dyDescent="0.35"/>
    <row r="71" spans="2:3" x14ac:dyDescent="0.35">
      <c r="B71" s="93" t="s">
        <v>5</v>
      </c>
      <c r="C71" t="s">
        <v>449</v>
      </c>
    </row>
    <row r="72" spans="2:3" x14ac:dyDescent="0.35">
      <c r="B72" t="s">
        <v>27</v>
      </c>
      <c r="C72" s="91">
        <v>174507</v>
      </c>
    </row>
    <row r="73" spans="2:3" x14ac:dyDescent="0.35">
      <c r="B73" t="s">
        <v>19</v>
      </c>
      <c r="C73" s="91">
        <v>75449</v>
      </c>
    </row>
    <row r="74" spans="2:3" x14ac:dyDescent="0.35">
      <c r="B74" t="s">
        <v>97</v>
      </c>
      <c r="C74" s="91">
        <v>67731</v>
      </c>
    </row>
    <row r="75" spans="2:3" x14ac:dyDescent="0.35">
      <c r="B75" t="s">
        <v>49</v>
      </c>
      <c r="C75" s="91">
        <v>51426</v>
      </c>
    </row>
    <row r="76" spans="2:3" x14ac:dyDescent="0.35">
      <c r="B76" t="s">
        <v>23</v>
      </c>
      <c r="C76" s="91">
        <v>41755</v>
      </c>
    </row>
    <row r="77" spans="2:3" x14ac:dyDescent="0.35">
      <c r="B77" t="s">
        <v>304</v>
      </c>
      <c r="C77" s="91">
        <v>26998</v>
      </c>
    </row>
    <row r="78" spans="2:3" x14ac:dyDescent="0.35">
      <c r="B78" t="s">
        <v>263</v>
      </c>
      <c r="C78" s="91">
        <v>24592</v>
      </c>
    </row>
    <row r="79" spans="2:3" x14ac:dyDescent="0.35">
      <c r="B79" t="s">
        <v>114</v>
      </c>
      <c r="C79" s="91">
        <v>20167</v>
      </c>
    </row>
    <row r="80" spans="2:3" x14ac:dyDescent="0.35">
      <c r="B80" t="s">
        <v>58</v>
      </c>
      <c r="C80" s="91">
        <v>17216</v>
      </c>
    </row>
    <row r="81" spans="2:3" x14ac:dyDescent="0.35">
      <c r="B81" t="s">
        <v>446</v>
      </c>
      <c r="C81" s="91">
        <v>9821</v>
      </c>
    </row>
    <row r="82" spans="2:3" x14ac:dyDescent="0.35">
      <c r="B82" t="s">
        <v>326</v>
      </c>
      <c r="C82" s="91">
        <v>6891</v>
      </c>
    </row>
    <row r="83" spans="2:3" x14ac:dyDescent="0.35">
      <c r="B83" t="s">
        <v>117</v>
      </c>
      <c r="C83" s="91">
        <v>6395</v>
      </c>
    </row>
    <row r="84" spans="2:3" x14ac:dyDescent="0.35">
      <c r="B84" t="s">
        <v>166</v>
      </c>
      <c r="C84" s="91">
        <v>6314</v>
      </c>
    </row>
    <row r="85" spans="2:3" x14ac:dyDescent="0.35">
      <c r="B85" t="s">
        <v>329</v>
      </c>
      <c r="C85" s="91">
        <v>6095</v>
      </c>
    </row>
    <row r="86" spans="2:3" x14ac:dyDescent="0.35">
      <c r="B86" t="s">
        <v>196</v>
      </c>
      <c r="C86" s="91">
        <v>5499</v>
      </c>
    </row>
    <row r="87" spans="2:3" x14ac:dyDescent="0.35">
      <c r="B87" t="s">
        <v>62</v>
      </c>
      <c r="C87" s="91">
        <v>3388</v>
      </c>
    </row>
    <row r="88" spans="2:3" x14ac:dyDescent="0.35">
      <c r="B88" t="s">
        <v>83</v>
      </c>
      <c r="C88" s="91">
        <v>2326</v>
      </c>
    </row>
    <row r="89" spans="2:3" x14ac:dyDescent="0.35">
      <c r="B89" t="s">
        <v>341</v>
      </c>
      <c r="C89" s="91">
        <v>615</v>
      </c>
    </row>
    <row r="90" spans="2:3" x14ac:dyDescent="0.35">
      <c r="B90" t="s">
        <v>34</v>
      </c>
      <c r="C90" s="91"/>
    </row>
    <row r="91" spans="2:3" x14ac:dyDescent="0.35">
      <c r="B91" t="s">
        <v>435</v>
      </c>
      <c r="C91" s="91">
        <v>547185</v>
      </c>
    </row>
    <row r="92" spans="2:3" x14ac:dyDescent="0.35"/>
    <row r="93" spans="2:3" x14ac:dyDescent="0.35">
      <c r="B93" s="93" t="s">
        <v>5</v>
      </c>
      <c r="C93" t="s">
        <v>445</v>
      </c>
    </row>
    <row r="94" spans="2:3" x14ac:dyDescent="0.35">
      <c r="B94" t="s">
        <v>27</v>
      </c>
      <c r="C94" s="91">
        <v>21379</v>
      </c>
    </row>
    <row r="95" spans="2:3" x14ac:dyDescent="0.35">
      <c r="B95" t="s">
        <v>19</v>
      </c>
      <c r="C95" s="91">
        <v>10801</v>
      </c>
    </row>
    <row r="96" spans="2:3" x14ac:dyDescent="0.35">
      <c r="B96" t="s">
        <v>114</v>
      </c>
      <c r="C96" s="91">
        <v>10744</v>
      </c>
    </row>
    <row r="97" spans="2:3" x14ac:dyDescent="0.35">
      <c r="B97" t="s">
        <v>446</v>
      </c>
      <c r="C97" s="91">
        <v>5837</v>
      </c>
    </row>
    <row r="98" spans="2:3" x14ac:dyDescent="0.35">
      <c r="B98" t="s">
        <v>326</v>
      </c>
      <c r="C98" s="91">
        <v>4524</v>
      </c>
    </row>
    <row r="99" spans="2:3" x14ac:dyDescent="0.35">
      <c r="B99" t="s">
        <v>117</v>
      </c>
      <c r="C99" s="91">
        <v>4521</v>
      </c>
    </row>
    <row r="100" spans="2:3" x14ac:dyDescent="0.35">
      <c r="B100" t="s">
        <v>97</v>
      </c>
      <c r="C100" s="91">
        <v>4381</v>
      </c>
    </row>
    <row r="101" spans="2:3" x14ac:dyDescent="0.35">
      <c r="B101" t="s">
        <v>83</v>
      </c>
      <c r="C101" s="91">
        <v>4285</v>
      </c>
    </row>
    <row r="102" spans="2:3" x14ac:dyDescent="0.35">
      <c r="B102" t="s">
        <v>263</v>
      </c>
      <c r="C102" s="91">
        <v>4282</v>
      </c>
    </row>
    <row r="103" spans="2:3" x14ac:dyDescent="0.35">
      <c r="B103" t="s">
        <v>304</v>
      </c>
      <c r="C103" s="91">
        <v>3710</v>
      </c>
    </row>
    <row r="104" spans="2:3" x14ac:dyDescent="0.35">
      <c r="B104" t="s">
        <v>34</v>
      </c>
      <c r="C104" s="91">
        <v>2411</v>
      </c>
    </row>
    <row r="105" spans="2:3" x14ac:dyDescent="0.35">
      <c r="B105" t="s">
        <v>329</v>
      </c>
      <c r="C105" s="91">
        <v>860</v>
      </c>
    </row>
    <row r="106" spans="2:3" x14ac:dyDescent="0.35">
      <c r="B106" t="s">
        <v>196</v>
      </c>
      <c r="C106" s="91">
        <v>518</v>
      </c>
    </row>
    <row r="107" spans="2:3" x14ac:dyDescent="0.35">
      <c r="B107" t="s">
        <v>166</v>
      </c>
      <c r="C107" s="91">
        <v>-408</v>
      </c>
    </row>
    <row r="108" spans="2:3" x14ac:dyDescent="0.35">
      <c r="B108" t="s">
        <v>341</v>
      </c>
      <c r="C108" s="91">
        <v>-571</v>
      </c>
    </row>
    <row r="109" spans="2:3" x14ac:dyDescent="0.35">
      <c r="B109" t="s">
        <v>62</v>
      </c>
      <c r="C109" s="91">
        <v>-785</v>
      </c>
    </row>
    <row r="110" spans="2:3" x14ac:dyDescent="0.35">
      <c r="B110" t="s">
        <v>58</v>
      </c>
      <c r="C110" s="91">
        <v>-1632</v>
      </c>
    </row>
    <row r="111" spans="2:3" x14ac:dyDescent="0.35">
      <c r="B111" t="s">
        <v>49</v>
      </c>
      <c r="C111" s="91">
        <v>-4630</v>
      </c>
    </row>
    <row r="112" spans="2:3" x14ac:dyDescent="0.35">
      <c r="B112" t="s">
        <v>23</v>
      </c>
      <c r="C112" s="91">
        <v>-21451</v>
      </c>
    </row>
    <row r="113" spans="2:3" x14ac:dyDescent="0.35">
      <c r="B113" t="s">
        <v>435</v>
      </c>
      <c r="C113" s="91">
        <v>48776</v>
      </c>
    </row>
    <row r="114" spans="2:3" x14ac:dyDescent="0.35"/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2"/>
  <sheetViews>
    <sheetView workbookViewId="0"/>
  </sheetViews>
  <sheetFormatPr defaultRowHeight="14.5" x14ac:dyDescent="0.35"/>
  <sheetData>
    <row r="1" spans="1:1" x14ac:dyDescent="0.35">
      <c r="A1" t="s">
        <v>450</v>
      </c>
    </row>
    <row r="2" spans="1:1" x14ac:dyDescent="0.35">
      <c r="A2" t="s">
        <v>451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0911E7-37B2-4D2D-B27D-57624EFC9F37}">
  <sheetPr codeName="Sheet4"/>
  <dimension ref="A1:A27"/>
  <sheetViews>
    <sheetView workbookViewId="0"/>
  </sheetViews>
  <sheetFormatPr defaultRowHeight="14.5" x14ac:dyDescent="0.35"/>
  <sheetData>
    <row r="1" spans="1:1" x14ac:dyDescent="0.35">
      <c r="A1" s="1" t="s">
        <v>452</v>
      </c>
    </row>
    <row r="2" spans="1:1" x14ac:dyDescent="0.35">
      <c r="A2" s="1" t="s">
        <v>453</v>
      </c>
    </row>
    <row r="3" spans="1:1" x14ac:dyDescent="0.35">
      <c r="A3" s="1" t="s">
        <v>454</v>
      </c>
    </row>
    <row r="4" spans="1:1" x14ac:dyDescent="0.35">
      <c r="A4" s="1" t="s">
        <v>455</v>
      </c>
    </row>
    <row r="5" spans="1:1" x14ac:dyDescent="0.35">
      <c r="A5" s="1" t="s">
        <v>456</v>
      </c>
    </row>
    <row r="6" spans="1:1" x14ac:dyDescent="0.35">
      <c r="A6" s="1" t="s">
        <v>457</v>
      </c>
    </row>
    <row r="7" spans="1:1" x14ac:dyDescent="0.35">
      <c r="A7" s="1" t="s">
        <v>458</v>
      </c>
    </row>
    <row r="8" spans="1:1" x14ac:dyDescent="0.35">
      <c r="A8" s="1" t="s">
        <v>459</v>
      </c>
    </row>
    <row r="9" spans="1:1" x14ac:dyDescent="0.35">
      <c r="A9" s="1" t="s">
        <v>460</v>
      </c>
    </row>
    <row r="10" spans="1:1" x14ac:dyDescent="0.35">
      <c r="A10" s="1" t="s">
        <v>461</v>
      </c>
    </row>
    <row r="11" spans="1:1" x14ac:dyDescent="0.35">
      <c r="A11" s="1" t="s">
        <v>462</v>
      </c>
    </row>
    <row r="12" spans="1:1" x14ac:dyDescent="0.35">
      <c r="A12" s="1" t="s">
        <v>463</v>
      </c>
    </row>
    <row r="13" spans="1:1" x14ac:dyDescent="0.35">
      <c r="A13" s="1" t="s">
        <v>464</v>
      </c>
    </row>
    <row r="14" spans="1:1" x14ac:dyDescent="0.35">
      <c r="A14" s="1" t="s">
        <v>465</v>
      </c>
    </row>
    <row r="15" spans="1:1" x14ac:dyDescent="0.35">
      <c r="A15" s="1" t="s">
        <v>466</v>
      </c>
    </row>
    <row r="16" spans="1:1" x14ac:dyDescent="0.35">
      <c r="A16" s="1" t="s">
        <v>467</v>
      </c>
    </row>
    <row r="17" spans="1:1" x14ac:dyDescent="0.35">
      <c r="A17" s="1" t="s">
        <v>468</v>
      </c>
    </row>
    <row r="18" spans="1:1" x14ac:dyDescent="0.35">
      <c r="A18" s="1" t="s">
        <v>467</v>
      </c>
    </row>
    <row r="19" spans="1:1" x14ac:dyDescent="0.35">
      <c r="A19" s="1" t="s">
        <v>467</v>
      </c>
    </row>
    <row r="20" spans="1:1" x14ac:dyDescent="0.35">
      <c r="A20" s="1" t="s">
        <v>467</v>
      </c>
    </row>
    <row r="21" spans="1:1" x14ac:dyDescent="0.35">
      <c r="A21" s="1" t="s">
        <v>469</v>
      </c>
    </row>
    <row r="22" spans="1:1" x14ac:dyDescent="0.35">
      <c r="A22" s="1" t="s">
        <v>470</v>
      </c>
    </row>
    <row r="23" spans="1:1" x14ac:dyDescent="0.35">
      <c r="A23" s="1" t="s">
        <v>471</v>
      </c>
    </row>
    <row r="24" spans="1:1" x14ac:dyDescent="0.35">
      <c r="A24" s="1" t="s">
        <v>472</v>
      </c>
    </row>
    <row r="25" spans="1:1" x14ac:dyDescent="0.35">
      <c r="A25" s="1" t="s">
        <v>473</v>
      </c>
    </row>
    <row r="26" spans="1:1" x14ac:dyDescent="0.35">
      <c r="A26" s="1" t="s">
        <v>474</v>
      </c>
    </row>
    <row r="27" spans="1:1" x14ac:dyDescent="0.35">
      <c r="A27" s="1" t="s">
        <v>475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2d792aec-2c86-4511-b8db-47737fbb9741">
      <Terms xmlns="http://schemas.microsoft.com/office/infopath/2007/PartnerControls"/>
    </lcf76f155ced4ddcb4097134ff3c332f>
    <TaxCatchAll xmlns="c6b7d111-6d14-40c5-8782-0f6fd5605b22" xsi:nil="true"/>
    <SharedWithUsers xmlns="c6b7d111-6d14-40c5-8782-0f6fd5605b22">
      <UserInfo>
        <DisplayName>Davis, Grant</DisplayName>
        <AccountId>1676</AccountId>
        <AccountType/>
      </UserInfo>
    </SharedWithUsers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043D4DE980EF04EBE1CE98D6515EE58" ma:contentTypeVersion="18" ma:contentTypeDescription="Create a new document." ma:contentTypeScope="" ma:versionID="163c64fd6c936a280a5bff6c91a1d8fa">
  <xsd:schema xmlns:xsd="http://www.w3.org/2001/XMLSchema" xmlns:xs="http://www.w3.org/2001/XMLSchema" xmlns:p="http://schemas.microsoft.com/office/2006/metadata/properties" xmlns:ns2="2d792aec-2c86-4511-b8db-47737fbb9741" xmlns:ns3="c6b7d111-6d14-40c5-8782-0f6fd5605b22" targetNamespace="http://schemas.microsoft.com/office/2006/metadata/properties" ma:root="true" ma:fieldsID="b980338c8c8fa75c3307e54dcb95907a" ns2:_="" ns3:_="">
    <xsd:import namespace="2d792aec-2c86-4511-b8db-47737fbb9741"/>
    <xsd:import namespace="c6b7d111-6d14-40c5-8782-0f6fd5605b2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d792aec-2c86-4511-b8db-47737fbb974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MediaLengthInSeconds" ma:index="19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461ed3f3-80a3-4625-a339-da1aff4a879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4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6b7d111-6d14-40c5-8782-0f6fd5605b22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5637c4fe-aa0d-41c8-a583-59788c65f567}" ma:internalName="TaxCatchAll" ma:showField="CatchAllData" ma:web="c6b7d111-6d14-40c5-8782-0f6fd5605b2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04D7BFF-02EF-4D0E-84AF-DAFAA5B8BF42}">
  <ds:schemaRefs>
    <ds:schemaRef ds:uri="http://schemas.microsoft.com/office/2006/metadata/properties"/>
    <ds:schemaRef ds:uri="http://schemas.microsoft.com/office/infopath/2007/PartnerControls"/>
    <ds:schemaRef ds:uri="2d792aec-2c86-4511-b8db-47737fbb9741"/>
    <ds:schemaRef ds:uri="c6b7d111-6d14-40c5-8782-0f6fd5605b22"/>
  </ds:schemaRefs>
</ds:datastoreItem>
</file>

<file path=customXml/itemProps2.xml><?xml version="1.0" encoding="utf-8"?>
<ds:datastoreItem xmlns:ds="http://schemas.openxmlformats.org/officeDocument/2006/customXml" ds:itemID="{3CB3DBB4-E9B0-4659-A6A3-DB80C3F569D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063CAF3-72A7-4B21-A769-CEEA4714567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d792aec-2c86-4511-b8db-47737fbb9741"/>
    <ds:schemaRef ds:uri="c6b7d111-6d14-40c5-8782-0f6fd5605b2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10</vt:i4>
      </vt:variant>
    </vt:vector>
  </HeadingPairs>
  <TitlesOfParts>
    <vt:vector size="17" baseType="lpstr">
      <vt:lpstr>IBC Historical Data</vt:lpstr>
      <vt:lpstr>Historic Averages by Year</vt:lpstr>
      <vt:lpstr>Historic Totals by Year</vt:lpstr>
      <vt:lpstr>Historic Semester Data</vt:lpstr>
      <vt:lpstr>Sheet1</vt:lpstr>
      <vt:lpstr>Location Analysis</vt:lpstr>
      <vt:lpstr>ᴁ Analytics Edge Queries</vt:lpstr>
      <vt:lpstr>cash_balances</vt:lpstr>
      <vt:lpstr>cogs</vt:lpstr>
      <vt:lpstr>company_semester</vt:lpstr>
      <vt:lpstr>company_year</vt:lpstr>
      <vt:lpstr>gross_profits</vt:lpstr>
      <vt:lpstr>historical_data</vt:lpstr>
      <vt:lpstr>net_incomes</vt:lpstr>
      <vt:lpstr>operating_expenses</vt:lpstr>
      <vt:lpstr>operating_incomes</vt:lpstr>
      <vt:lpstr>revenues</vt:lpstr>
    </vt:vector>
  </TitlesOfParts>
  <Manager/>
  <Company>Brigham Young University Idaho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Jayson Kunzler</dc:creator>
  <cp:keywords/>
  <dc:description/>
  <cp:lastModifiedBy>Jacob Brown</cp:lastModifiedBy>
  <cp:revision/>
  <dcterms:created xsi:type="dcterms:W3CDTF">2016-04-12T22:10:30Z</dcterms:created>
  <dcterms:modified xsi:type="dcterms:W3CDTF">2024-05-16T00:57:54Z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0x0101009043D4DE980EF04EBE1CE98D6515EE58</vt:lpwstr>
  </property>
  <property fmtid="{D5CDD505-2E9C-101B-9397-08002B2CF9AE}" pid="3" name="MediaServiceImageTags">
    <vt:lpwstr/>
  </property>
</Properties>
</file>